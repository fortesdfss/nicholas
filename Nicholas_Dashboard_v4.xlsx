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OES" sheetId="1" state="visible" r:id="rId1"/>
    <sheet xmlns:r="http://schemas.openxmlformats.org/officeDocument/2006/relationships" name="BEM_ESTAR" sheetId="2" state="visible" r:id="rId2"/>
    <sheet xmlns:r="http://schemas.openxmlformats.org/officeDocument/2006/relationships" name="SERIES" sheetId="3" state="visible" r:id="rId3"/>
    <sheet xmlns:r="http://schemas.openxmlformats.org/officeDocument/2006/relationships" name="ANALISE_SEMANAL" sheetId="4" state="visible" r:id="rId4"/>
    <sheet xmlns:r="http://schemas.openxmlformats.org/officeDocument/2006/relationships" name="PARAMETROS" sheetId="5" state="visible" r:id="rId5"/>
    <sheet xmlns:r="http://schemas.openxmlformats.org/officeDocument/2006/relationships" name="PROTOCOLO_ENTRA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1A1A2E"/>
      <sz val="9"/>
    </font>
    <font>
      <name val="Arial"/>
      <b val="1"/>
      <color rgb="00854F0B"/>
      <sz val="9"/>
    </font>
    <font>
      <name val="Arial"/>
      <b val="1"/>
      <color rgb="00EF4444"/>
      <sz val="9"/>
    </font>
    <font>
      <name val="Arial"/>
      <color rgb="001A1A2E"/>
      <sz val="10"/>
    </font>
    <font>
      <name val="Arial"/>
      <color rgb="00FFFFFF"/>
      <sz val="10"/>
    </font>
  </fonts>
  <fills count="17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0F3460"/>
      </patternFill>
    </fill>
    <fill>
      <patternFill patternType="solid">
        <fgColor rgb="00185FA5"/>
      </patternFill>
    </fill>
    <fill>
      <patternFill patternType="solid">
        <fgColor rgb="003B6D11"/>
      </patternFill>
    </fill>
    <fill>
      <patternFill patternType="solid">
        <fgColor rgb="00854F0B"/>
      </patternFill>
    </fill>
    <fill>
      <patternFill patternType="solid">
        <fgColor rgb="00FFFFFF"/>
      </patternFill>
    </fill>
    <fill>
      <patternFill patternType="solid">
        <fgColor rgb="00EFF3F8"/>
      </patternFill>
    </fill>
    <fill>
      <patternFill patternType="solid">
        <fgColor rgb="00B5D4F4"/>
      </patternFill>
    </fill>
    <fill>
      <patternFill patternType="solid">
        <fgColor rgb="009FE1CB"/>
      </patternFill>
    </fill>
    <fill>
      <patternFill patternType="solid">
        <fgColor rgb="00FAC775"/>
      </patternFill>
    </fill>
    <fill>
      <patternFill patternType="solid">
        <fgColor rgb="00F0997B"/>
      </patternFill>
    </fill>
    <fill>
      <patternFill patternType="solid">
        <fgColor rgb="00C0DD97"/>
      </patternFill>
    </fill>
    <fill>
      <patternFill patternType="solid">
        <fgColor rgb="00F09595"/>
      </patternFill>
    </fill>
    <fill>
      <patternFill patternType="solid">
        <fgColor rgb="00EAF3DE"/>
      </patternFill>
    </fill>
  </fills>
  <borders count="2">
    <border>
      <left/>
      <right/>
      <top/>
      <bottom/>
      <diagonal/>
    </border>
    <border>
      <left style="thin">
        <color rgb="00D0CEC7"/>
      </left>
      <right style="thin">
        <color rgb="00D0CEC7"/>
      </right>
      <top style="thin">
        <color rgb="00D0CEC7"/>
      </top>
      <bottom style="thin">
        <color rgb="00D0CEC7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 horizontal="left" vertical="center" wrapText="1"/>
    </xf>
    <xf numFmtId="0" fontId="8" fillId="16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ont>
        <b val="1"/>
        <color rgb="003B6D11"/>
      </font>
      <fill>
        <patternFill patternType="solid">
          <fgColor rgb="00EAF3DE"/>
        </patternFill>
      </fill>
    </dxf>
    <dxf>
      <font>
        <b val="1"/>
        <color rgb="00854F0B"/>
      </font>
      <fill>
        <patternFill patternType="solid">
          <fgColor rgb="00FAEEDA"/>
        </patternFill>
      </fill>
    </dxf>
    <dxf>
      <font>
        <b val="1"/>
        <color rgb="00EF4444"/>
      </font>
      <fill>
        <patternFill patternType="solid">
          <fgColor rgb="00FCEBEB"/>
        </patternFill>
      </fill>
    </dxf>
    <dxf>
      <font>
        <b val="1"/>
        <color rgb="00993C1D"/>
      </font>
      <fill>
        <patternFill patternType="solid">
          <fgColor rgb="00F5C4B3"/>
        </patternFill>
      </fill>
    </dxf>
    <dxf>
      <font>
        <color rgb="003B6D11"/>
      </font>
      <fill>
        <patternFill patternType="solid">
          <fgColor rgb="00EAF3DE"/>
        </patternFill>
      </fill>
    </dxf>
    <dxf>
      <font>
        <color rgb="00854F0B"/>
      </font>
      <fill>
        <patternFill patternType="solid">
          <fgColor rgb="00FAEE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8" customWidth="1" min="4" max="4"/>
    <col width="9" customWidth="1" min="5" max="5"/>
    <col width="9" customWidth="1" min="6" max="6"/>
    <col width="8" customWidth="1" min="7" max="7"/>
    <col width="10" customWidth="1" min="8" max="8"/>
    <col width="8" customWidth="1" min="9" max="9"/>
    <col width="9" customWidth="1" min="10" max="10"/>
    <col width="11" customWidth="1" min="11" max="11"/>
    <col width="10" customWidth="1" min="12" max="12"/>
    <col width="8" customWidth="1" min="13" max="13"/>
    <col width="7" customWidth="1" min="14" max="14"/>
    <col width="7" customWidth="1" min="15" max="15"/>
    <col width="7" customWidth="1" min="16" max="16"/>
    <col width="7" customWidth="1" min="17" max="17"/>
    <col width="9" customWidth="1" min="18" max="18"/>
    <col width="9" customWidth="1" min="19" max="19"/>
    <col width="8" customWidth="1" min="20" max="20"/>
    <col width="8" customWidth="1" min="21" max="21"/>
    <col width="9" customWidth="1" min="22" max="22"/>
    <col width="12" customWidth="1" min="23" max="23"/>
    <col width="12" customWidth="1" min="24" max="24"/>
    <col width="10" customWidth="1" min="25" max="25"/>
    <col width="10" customWidth="1" min="26" max="26"/>
    <col width="9" customWidth="1" min="27" max="27"/>
    <col width="10" customWidth="1" min="28" max="28"/>
    <col width="10" customWidth="1" min="29" max="29"/>
    <col width="10" customWidth="1" min="30" max="30"/>
    <col width="9" customWidth="1" min="31" max="31"/>
    <col width="10" customWidth="1" min="32" max="32"/>
    <col width="9" customWidth="1" min="33" max="33"/>
    <col width="10" customWidth="1" min="34" max="34"/>
    <col width="9" customWidth="1" min="35" max="35"/>
    <col width="9" customWidth="1" min="36" max="36"/>
    <col width="10" customWidth="1" min="37" max="37"/>
    <col width="11" customWidth="1" min="38" max="38"/>
    <col width="22" customWidth="1" min="39" max="39"/>
  </cols>
  <sheetData>
    <row r="1" ht="34" customHeight="1">
      <c r="A1" s="1" t="inlineStr">
        <is>
          <t>NICHOLAS — SESSÕES DE TREINO  |  50m Borboleta  |  Monitoramento de Carga Completo</t>
        </is>
      </c>
    </row>
    <row r="2" ht="22" customHeight="1">
      <c r="A2" s="2" t="inlineStr">
        <is>
          <t>Identificação</t>
        </is>
      </c>
      <c r="E2" s="3" t="inlineStr">
        <is>
          <t>Carga externa — global</t>
        </is>
      </c>
      <c r="I2" s="4" t="inlineStr">
        <is>
          <t>Carga interna</t>
        </is>
      </c>
      <c r="M2" s="3" t="inlineStr">
        <is>
          <t>Zonas de intensidade (%)</t>
        </is>
      </c>
      <c r="S2" s="5" t="inlineStr">
        <is>
          <t>Volume por tipo de tarefa (m)</t>
        </is>
      </c>
      <c r="AD2" s="6" t="inlineStr">
        <is>
          <t>Alta intensidade — AllOut / Fo</t>
        </is>
      </c>
      <c r="AM2" s="7" t="inlineStr"/>
    </row>
    <row r="3" ht="34" customHeight="1">
      <c r="A3" s="8" t="inlineStr">
        <is>
          <t>Data</t>
        </is>
      </c>
      <c r="B3" s="8" t="inlineStr">
        <is>
          <t>Dia</t>
        </is>
      </c>
      <c r="C3" s="8" t="inlineStr">
        <is>
          <t>Tipo Treino</t>
        </is>
      </c>
      <c r="D3" s="8" t="inlineStr">
        <is>
          <t>Piscina
(m)</t>
        </is>
      </c>
      <c r="E3" s="8" t="inlineStr">
        <is>
          <t>Volume
(m)</t>
        </is>
      </c>
      <c r="F3" s="8" t="inlineStr">
        <is>
          <t>Duração
(min)</t>
        </is>
      </c>
      <c r="G3" s="8" t="inlineStr">
        <is>
          <t>N° Sessão
Semana</t>
        </is>
      </c>
      <c r="H3" s="8" t="inlineStr">
        <is>
          <t>Densidade
(m/min)</t>
        </is>
      </c>
      <c r="I3" s="8" t="inlineStr">
        <is>
          <t>PSE
(0-10)</t>
        </is>
      </c>
      <c r="J3" s="8" t="inlineStr">
        <is>
          <t>TRIMP
(UA)</t>
        </is>
      </c>
      <c r="K3" s="8" t="inlineStr">
        <is>
          <t>Classif.
PSE</t>
        </is>
      </c>
      <c r="L3" s="8" t="inlineStr">
        <is>
          <t>Alerta
Carga</t>
        </is>
      </c>
      <c r="M3" s="8" t="inlineStr">
        <is>
          <t>%Solto
A0</t>
        </is>
      </c>
      <c r="N3" s="8" t="inlineStr">
        <is>
          <t>%A1</t>
        </is>
      </c>
      <c r="O3" s="8" t="inlineStr">
        <is>
          <t>%A2</t>
        </is>
      </c>
      <c r="P3" s="8" t="inlineStr">
        <is>
          <t>%A3</t>
        </is>
      </c>
      <c r="Q3" s="8" t="inlineStr">
        <is>
          <t>%Fo</t>
        </is>
      </c>
      <c r="R3" s="8" t="inlineStr">
        <is>
          <t>% AllOut</t>
        </is>
      </c>
      <c r="S3" s="8" t="inlineStr">
        <is>
          <t>Vol NC
(m)</t>
        </is>
      </c>
      <c r="T3" s="8" t="inlineStr">
        <is>
          <t>Vol BR
(m)</t>
        </is>
      </c>
      <c r="U3" s="8" t="inlineStr">
        <is>
          <t>Vol PR
(m)</t>
        </is>
      </c>
      <c r="V3" s="8" t="inlineStr">
        <is>
          <t>Vol TEC
(m)</t>
        </is>
      </c>
      <c r="W3" s="8" t="inlineStr">
        <is>
          <t>Vol Subm DK
Aeróbio (m)</t>
        </is>
      </c>
      <c r="X3" s="8" t="inlineStr">
        <is>
          <t>Vol Subm DK
AllOut (m)</t>
        </is>
      </c>
      <c r="Y3" s="8" t="inlineStr">
        <is>
          <t>Vol
Resistido (m)</t>
        </is>
      </c>
      <c r="Z3" s="8" t="inlineStr">
        <is>
          <t>Vol
Ovespeed (m)</t>
        </is>
      </c>
      <c r="AA3" s="8" t="inlineStr">
        <is>
          <t>Vol RTM50
(m)</t>
        </is>
      </c>
      <c r="AB3" s="8" t="inlineStr">
        <is>
          <t>Vol RTM100
(m)</t>
        </is>
      </c>
      <c r="AC3" s="8" t="inlineStr">
        <is>
          <t>Vol RTM200
(m)</t>
        </is>
      </c>
      <c r="AD3" s="8" t="inlineStr">
        <is>
          <t>Vol AllOut
Total (m)</t>
        </is>
      </c>
      <c r="AE3" s="8" t="inlineStr">
        <is>
          <t>Vol Fo
(m)</t>
        </is>
      </c>
      <c r="AF3" s="8" t="inlineStr">
        <is>
          <t>N° AllOut
DESTRO</t>
        </is>
      </c>
      <c r="AG3" s="8" t="inlineStr">
        <is>
          <t>N° AllOut
SM</t>
        </is>
      </c>
      <c r="AH3" s="8" t="inlineStr">
        <is>
          <t>N° AllOut
Total</t>
        </is>
      </c>
      <c r="AI3" s="8" t="inlineStr">
        <is>
          <t>N° Saídas</t>
        </is>
      </c>
      <c r="AJ3" s="8" t="inlineStr">
        <is>
          <t>N° Viradas</t>
        </is>
      </c>
      <c r="AK3" s="8" t="inlineStr">
        <is>
          <t>Ratio
W:R AllOut</t>
        </is>
      </c>
      <c r="AL3" s="8" t="inlineStr">
        <is>
          <t>Carga
DESTRO (kg)</t>
        </is>
      </c>
      <c r="AM3" s="8" t="inlineStr">
        <is>
          <t>Obs</t>
        </is>
      </c>
    </row>
    <row r="4" ht="18" customHeight="1">
      <c r="A4" s="9" t="inlineStr">
        <is>
          <t>2025-03-09</t>
        </is>
      </c>
      <c r="B4" s="9" t="inlineStr">
        <is>
          <t>Seg</t>
        </is>
      </c>
      <c r="C4" s="9" t="inlineStr">
        <is>
          <t>COTP_LONGA</t>
        </is>
      </c>
      <c r="D4" s="9" t="n">
        <v>25</v>
      </c>
      <c r="E4" s="9" t="n">
        <v>2910</v>
      </c>
      <c r="F4" s="9" t="n">
        <v>94</v>
      </c>
      <c r="G4" s="9" t="n">
        <v>1</v>
      </c>
      <c r="H4" s="9">
        <f>IF(AND(E4&lt;&gt;"",F4&lt;&gt;""),ROUND(E4/F4,1),"")</f>
        <v/>
      </c>
      <c r="I4" s="9" t="n">
        <v>4.5</v>
      </c>
      <c r="J4" s="9">
        <f>IF(AND(F4&lt;&gt;"",I4&lt;&gt;""),ROUND(F4*I4,0),"")</f>
        <v/>
      </c>
      <c r="K4" s="9">
        <f>IF(I4="","",IF(I4&lt;=4,"Leve",IF(I4&lt;=6,"Moderado",IF(I4&lt;=8,"Intenso","Muito Intenso"))))</f>
        <v/>
      </c>
      <c r="L4" s="9">
        <f>IF(J4="","",IF(J4&gt;800,"CRÍTICO",IF(J4&gt;600,"ATENÇÃO","OK")))</f>
        <v/>
      </c>
      <c r="M4" s="9" t="n">
        <v>68</v>
      </c>
      <c r="N4" s="9" t="n">
        <v>13.7</v>
      </c>
      <c r="O4" s="9" t="n">
        <v>0</v>
      </c>
      <c r="P4" s="9" t="n">
        <v>3.4</v>
      </c>
      <c r="Q4" s="9" t="n">
        <v>14.8</v>
      </c>
      <c r="R4" s="9" t="n">
        <v>0</v>
      </c>
      <c r="S4" s="9" t="n">
        <v>950</v>
      </c>
      <c r="T4" s="9" t="n">
        <v>400</v>
      </c>
      <c r="U4" s="9" t="n">
        <v>600</v>
      </c>
      <c r="V4" s="9" t="n">
        <v>280</v>
      </c>
      <c r="W4" s="9" t="n">
        <v>0</v>
      </c>
      <c r="X4" s="9" t="n">
        <v>0</v>
      </c>
      <c r="Y4" s="9" t="n">
        <v>0</v>
      </c>
      <c r="Z4" s="9" t="n">
        <v>0</v>
      </c>
      <c r="AA4" s="9" t="n">
        <v>0</v>
      </c>
      <c r="AB4" s="9" t="n">
        <v>0</v>
      </c>
      <c r="AC4" s="9" t="n">
        <v>0</v>
      </c>
      <c r="AD4" s="9" t="n">
        <v>100</v>
      </c>
      <c r="AE4" s="9" t="n">
        <v>430</v>
      </c>
      <c r="AF4" s="9" t="n">
        <v>0</v>
      </c>
      <c r="AG4" s="9" t="n">
        <v>0</v>
      </c>
      <c r="AH4" s="9">
        <f>IF(AND(AC4&lt;&gt;"",AD4&lt;&gt;""),AC4+AD4,"")</f>
        <v/>
      </c>
      <c r="AI4" s="9" t="n">
        <v>2</v>
      </c>
      <c r="AJ4" s="9" t="n">
        <v>0</v>
      </c>
      <c r="AK4" s="9" t="inlineStr">
        <is>
          <t>—</t>
        </is>
      </c>
      <c r="AL4" s="9" t="n"/>
      <c r="AM4" s="9" t="inlineStr"/>
    </row>
    <row r="5" ht="18" customHeight="1">
      <c r="A5" s="10" t="inlineStr">
        <is>
          <t>2025-03-10</t>
        </is>
      </c>
      <c r="B5" s="10" t="inlineStr">
        <is>
          <t>Ter</t>
        </is>
      </c>
      <c r="C5" s="10" t="inlineStr">
        <is>
          <t>COTP_LONGA</t>
        </is>
      </c>
      <c r="D5" s="10" t="n">
        <v>25</v>
      </c>
      <c r="E5" s="10" t="n">
        <v>2000</v>
      </c>
      <c r="F5" s="10" t="n">
        <v>85</v>
      </c>
      <c r="G5" s="10" t="n">
        <v>2</v>
      </c>
      <c r="H5" s="10">
        <f>IF(AND(E5&lt;&gt;"",F5&lt;&gt;""),ROUND(E5/F5,1),"")</f>
        <v/>
      </c>
      <c r="I5" s="10" t="n">
        <v>3</v>
      </c>
      <c r="J5" s="10">
        <f>IF(AND(F5&lt;&gt;"",I5&lt;&gt;""),ROUND(F5*I5,0),"")</f>
        <v/>
      </c>
      <c r="K5" s="10">
        <f>IF(I5="","",IF(I5&lt;=4,"Leve",IF(I5&lt;=6,"Moderado",IF(I5&lt;=8,"Intenso","Muito Intenso"))))</f>
        <v/>
      </c>
      <c r="L5" s="10">
        <f>IF(J5="","",IF(J5&gt;800,"CRÍTICO",IF(J5&gt;600,"ATENÇÃO","OK")))</f>
        <v/>
      </c>
      <c r="M5" s="10" t="n">
        <v>21</v>
      </c>
      <c r="N5" s="10" t="n">
        <v>62.9</v>
      </c>
      <c r="O5" s="10" t="n">
        <v>0</v>
      </c>
      <c r="P5" s="10" t="n">
        <v>0</v>
      </c>
      <c r="Q5" s="10" t="n">
        <v>0</v>
      </c>
      <c r="R5" s="10" t="n">
        <v>16.2</v>
      </c>
      <c r="S5" s="10" t="n">
        <v>500</v>
      </c>
      <c r="T5" s="10" t="n">
        <v>300</v>
      </c>
      <c r="U5" s="10" t="n">
        <v>600</v>
      </c>
      <c r="V5" s="10" t="n">
        <v>200</v>
      </c>
      <c r="W5" s="10" t="n">
        <v>180</v>
      </c>
      <c r="X5" s="10" t="n">
        <v>90</v>
      </c>
      <c r="Y5" s="10" t="n">
        <v>0</v>
      </c>
      <c r="Z5" s="10" t="n">
        <v>0</v>
      </c>
      <c r="AA5" s="10" t="n">
        <v>0</v>
      </c>
      <c r="AB5" s="10" t="n">
        <v>0</v>
      </c>
      <c r="AC5" s="10" t="n">
        <v>0</v>
      </c>
      <c r="AD5" s="10" t="n">
        <v>270</v>
      </c>
      <c r="AE5" s="10" t="n">
        <v>0</v>
      </c>
      <c r="AF5" s="10" t="n">
        <v>0</v>
      </c>
      <c r="AG5" s="10" t="n">
        <v>0</v>
      </c>
      <c r="AH5" s="10">
        <f>IF(AND(AC5&lt;&gt;"",AD5&lt;&gt;""),AC5+AD5,"")</f>
        <v/>
      </c>
      <c r="AI5" s="10" t="n">
        <v>1</v>
      </c>
      <c r="AJ5" s="10" t="n">
        <v>0</v>
      </c>
      <c r="AK5" s="10" t="inlineStr">
        <is>
          <t>—</t>
        </is>
      </c>
      <c r="AL5" s="10" t="n"/>
      <c r="AM5" s="10" t="inlineStr"/>
    </row>
    <row r="6" ht="18" customHeight="1">
      <c r="A6" s="9" t="inlineStr">
        <is>
          <t>2025-03-11</t>
        </is>
      </c>
      <c r="B6" s="9" t="inlineStr">
        <is>
          <t>Qua</t>
        </is>
      </c>
      <c r="C6" s="9" t="inlineStr">
        <is>
          <t>COTP_LONGA</t>
        </is>
      </c>
      <c r="D6" s="9" t="n">
        <v>25</v>
      </c>
      <c r="E6" s="9" t="n">
        <v>2600</v>
      </c>
      <c r="F6" s="9" t="n">
        <v>99</v>
      </c>
      <c r="G6" s="9" t="n">
        <v>3</v>
      </c>
      <c r="H6" s="9">
        <f>IF(AND(E6&lt;&gt;"",F6&lt;&gt;""),ROUND(E6/F6,1),"")</f>
        <v/>
      </c>
      <c r="I6" s="9" t="n">
        <v>4</v>
      </c>
      <c r="J6" s="9">
        <f>IF(AND(F6&lt;&gt;"",I6&lt;&gt;""),ROUND(F6*I6,0),"")</f>
        <v/>
      </c>
      <c r="K6" s="9">
        <f>IF(I6="","",IF(I6&lt;=4,"Leve",IF(I6&lt;=6,"Moderado",IF(I6&lt;=8,"Intenso","Muito Intenso"))))</f>
        <v/>
      </c>
      <c r="L6" s="9">
        <f>IF(J6="","",IF(J6&gt;800,"CRÍTICO",IF(J6&gt;600,"ATENÇÃO","OK")))</f>
        <v/>
      </c>
      <c r="M6" s="9" t="n">
        <v>54.8</v>
      </c>
      <c r="N6" s="9" t="n">
        <v>22.8</v>
      </c>
      <c r="O6" s="9" t="n">
        <v>4.6</v>
      </c>
      <c r="P6" s="9" t="n">
        <v>0</v>
      </c>
      <c r="Q6" s="9" t="n">
        <v>17.8</v>
      </c>
      <c r="R6" s="9" t="n">
        <v>0</v>
      </c>
      <c r="S6" s="9" t="n">
        <v>700</v>
      </c>
      <c r="T6" s="9" t="n">
        <v>300</v>
      </c>
      <c r="U6" s="9" t="n">
        <v>400</v>
      </c>
      <c r="V6" s="9" t="n">
        <v>200</v>
      </c>
      <c r="W6" s="9" t="n">
        <v>0</v>
      </c>
      <c r="X6" s="9" t="n">
        <v>0</v>
      </c>
      <c r="Y6" s="9" t="n">
        <v>200</v>
      </c>
      <c r="Z6" s="9" t="n">
        <v>0</v>
      </c>
      <c r="AA6" s="9" t="n">
        <v>0</v>
      </c>
      <c r="AB6" s="9" t="n">
        <v>0</v>
      </c>
      <c r="AC6" s="9" t="n">
        <v>0</v>
      </c>
      <c r="AD6" s="9" t="n">
        <v>200</v>
      </c>
      <c r="AE6" s="9" t="n">
        <v>460</v>
      </c>
      <c r="AF6" s="9" t="n">
        <v>8</v>
      </c>
      <c r="AG6" s="9" t="n">
        <v>0</v>
      </c>
      <c r="AH6" s="9">
        <f>IF(AND(AC6&lt;&gt;"",AD6&lt;&gt;""),AC6+AD6,"")</f>
        <v/>
      </c>
      <c r="AI6" s="9" t="n">
        <v>2</v>
      </c>
      <c r="AJ6" s="9" t="n">
        <v>0</v>
      </c>
      <c r="AK6" s="9" t="inlineStr">
        <is>
          <t>1:5</t>
        </is>
      </c>
      <c r="AL6" s="9" t="n">
        <v>60</v>
      </c>
      <c r="AM6" s="9" t="inlineStr"/>
    </row>
    <row r="7" ht="18" customHeight="1">
      <c r="A7" s="10" t="inlineStr">
        <is>
          <t>2025-03-12</t>
        </is>
      </c>
      <c r="B7" s="10" t="inlineStr">
        <is>
          <t>Qui</t>
        </is>
      </c>
      <c r="C7" s="10" t="inlineStr">
        <is>
          <t>COTP_LONGA</t>
        </is>
      </c>
      <c r="D7" s="10" t="n">
        <v>25</v>
      </c>
      <c r="E7" s="10" t="n">
        <v>1800</v>
      </c>
      <c r="F7" s="10" t="n">
        <v>70</v>
      </c>
      <c r="G7" s="10" t="n">
        <v>4</v>
      </c>
      <c r="H7" s="10">
        <f>IF(AND(E7&lt;&gt;"",F7&lt;&gt;""),ROUND(E7/F7,1),"")</f>
        <v/>
      </c>
      <c r="I7" s="10" t="n">
        <v>3.5</v>
      </c>
      <c r="J7" s="10">
        <f>IF(AND(F7&lt;&gt;"",I7&lt;&gt;""),ROUND(F7*I7,0),"")</f>
        <v/>
      </c>
      <c r="K7" s="10">
        <f>IF(I7="","",IF(I7&lt;=4,"Leve",IF(I7&lt;=6,"Moderado",IF(I7&lt;=8,"Intenso","Muito Intenso"))))</f>
        <v/>
      </c>
      <c r="L7" s="10">
        <f>IF(J7="","",IF(J7&gt;800,"CRÍTICO",IF(J7&gt;600,"ATENÇÃO","OK")))</f>
        <v/>
      </c>
      <c r="M7" s="10" t="n">
        <v>60</v>
      </c>
      <c r="N7" s="10" t="n">
        <v>30</v>
      </c>
      <c r="O7" s="10" t="n">
        <v>0</v>
      </c>
      <c r="P7" s="10" t="n">
        <v>0</v>
      </c>
      <c r="Q7" s="10" t="n">
        <v>10</v>
      </c>
      <c r="R7" s="10" t="n">
        <v>0</v>
      </c>
      <c r="S7" s="10" t="n">
        <v>400</v>
      </c>
      <c r="T7" s="10" t="n">
        <v>400</v>
      </c>
      <c r="U7" s="10" t="n">
        <v>300</v>
      </c>
      <c r="V7" s="10" t="n">
        <v>200</v>
      </c>
      <c r="W7" s="10" t="n">
        <v>0</v>
      </c>
      <c r="X7" s="10" t="n">
        <v>0</v>
      </c>
      <c r="Y7" s="10" t="n">
        <v>0</v>
      </c>
      <c r="Z7" s="10" t="n">
        <v>0</v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180</v>
      </c>
      <c r="AF7" s="10" t="n">
        <v>0</v>
      </c>
      <c r="AG7" s="10" t="n">
        <v>0</v>
      </c>
      <c r="AH7" s="10">
        <f>IF(AND(AC7&lt;&gt;"",AD7&lt;&gt;""),AC7+AD7,"")</f>
        <v/>
      </c>
      <c r="AI7" s="10" t="n">
        <v>0</v>
      </c>
      <c r="AJ7" s="10" t="n">
        <v>0</v>
      </c>
      <c r="AK7" s="10" t="inlineStr">
        <is>
          <t>—</t>
        </is>
      </c>
      <c r="AL7" s="10" t="n"/>
      <c r="AM7" s="10" t="inlineStr"/>
    </row>
    <row r="8" ht="18" customHeight="1">
      <c r="A8" s="9" t="inlineStr">
        <is>
          <t>2025-03-13</t>
        </is>
      </c>
      <c r="B8" s="9" t="inlineStr">
        <is>
          <t>Sex</t>
        </is>
      </c>
      <c r="C8" s="9" t="inlineStr">
        <is>
          <t>COTP_LONGA</t>
        </is>
      </c>
      <c r="D8" s="9" t="n">
        <v>25</v>
      </c>
      <c r="E8" s="9" t="n">
        <v>2000</v>
      </c>
      <c r="F8" s="9" t="n">
        <v>75</v>
      </c>
      <c r="G8" s="9" t="n">
        <v>5</v>
      </c>
      <c r="H8" s="9">
        <f>IF(AND(E8&lt;&gt;"",F8&lt;&gt;""),ROUND(E8/F8,1),"")</f>
        <v/>
      </c>
      <c r="I8" s="9" t="n">
        <v>3</v>
      </c>
      <c r="J8" s="9">
        <f>IF(AND(F8&lt;&gt;"",I8&lt;&gt;""),ROUND(F8*I8,0),"")</f>
        <v/>
      </c>
      <c r="K8" s="9">
        <f>IF(I8="","",IF(I8&lt;=4,"Leve",IF(I8&lt;=6,"Moderado",IF(I8&lt;=8,"Intenso","Muito Intenso"))))</f>
        <v/>
      </c>
      <c r="L8" s="9">
        <f>IF(J8="","",IF(J8&gt;800,"CRÍTICO",IF(J8&gt;600,"ATENÇÃO","OK")))</f>
        <v/>
      </c>
      <c r="M8" s="9" t="n">
        <v>55</v>
      </c>
      <c r="N8" s="9" t="n">
        <v>35</v>
      </c>
      <c r="O8" s="9" t="n">
        <v>0</v>
      </c>
      <c r="P8" s="9" t="n">
        <v>0</v>
      </c>
      <c r="Q8" s="9" t="n">
        <v>10</v>
      </c>
      <c r="R8" s="9" t="n">
        <v>0</v>
      </c>
      <c r="S8" s="9" t="n">
        <v>500</v>
      </c>
      <c r="T8" s="9" t="n">
        <v>400</v>
      </c>
      <c r="U8" s="9" t="n">
        <v>400</v>
      </c>
      <c r="V8" s="9" t="n">
        <v>200</v>
      </c>
      <c r="W8" s="9" t="n">
        <v>0</v>
      </c>
      <c r="X8" s="9" t="n">
        <v>0</v>
      </c>
      <c r="Y8" s="9" t="n">
        <v>0</v>
      </c>
      <c r="Z8" s="9" t="n">
        <v>0</v>
      </c>
      <c r="AA8" s="9" t="n">
        <v>0</v>
      </c>
      <c r="AB8" s="9" t="n">
        <v>0</v>
      </c>
      <c r="AC8" s="9" t="n">
        <v>0</v>
      </c>
      <c r="AD8" s="9" t="n">
        <v>0</v>
      </c>
      <c r="AE8" s="9" t="n">
        <v>200</v>
      </c>
      <c r="AF8" s="9" t="n">
        <v>0</v>
      </c>
      <c r="AG8" s="9" t="n">
        <v>0</v>
      </c>
      <c r="AH8" s="9">
        <f>IF(AND(AC8&lt;&gt;"",AD8&lt;&gt;""),AC8+AD8,"")</f>
        <v/>
      </c>
      <c r="AI8" s="9" t="n">
        <v>0</v>
      </c>
      <c r="AJ8" s="9" t="n">
        <v>0</v>
      </c>
      <c r="AK8" s="9" t="inlineStr">
        <is>
          <t>—</t>
        </is>
      </c>
      <c r="AL8" s="9" t="n"/>
      <c r="AM8" s="9" t="inlineStr"/>
    </row>
    <row r="9" ht="18" customHeight="1">
      <c r="A9" s="10" t="inlineStr">
        <is>
          <t>2026-04-13</t>
        </is>
      </c>
      <c r="B9" s="10" t="inlineStr">
        <is>
          <t>Seg</t>
        </is>
      </c>
      <c r="C9" s="10" t="inlineStr">
        <is>
          <t>COTP_LONGA</t>
        </is>
      </c>
      <c r="D9" s="10" t="n">
        <v>25</v>
      </c>
      <c r="E9" s="10" t="n">
        <v>2400</v>
      </c>
      <c r="F9" s="10" t="n">
        <v>136</v>
      </c>
      <c r="G9" s="10" t="n">
        <v>1</v>
      </c>
      <c r="H9" s="10">
        <f>IF(AND(E9&lt;&gt;"",F9&lt;&gt;""),ROUND(E9/F9,1),"")</f>
        <v/>
      </c>
      <c r="I9" s="10" t="n">
        <v>7</v>
      </c>
      <c r="J9" s="10">
        <f>IF(AND(F9&lt;&gt;"",I9&lt;&gt;""),ROUND(F9*I9,0),"")</f>
        <v/>
      </c>
      <c r="K9" s="10">
        <f>IF(I9="","",IF(I9&lt;=4,"Leve",IF(I9&lt;=6,"Moderado",IF(I9&lt;=8,"Intenso","Muito Intenso"))))</f>
        <v/>
      </c>
      <c r="L9" s="10">
        <f>IF(J9="","",IF(J9&gt;800,"CRÍTICO",IF(J9&gt;600,"ATENÇÃO","OK")))</f>
        <v/>
      </c>
      <c r="M9" s="10" t="n">
        <v>62.6</v>
      </c>
      <c r="N9" s="10" t="n">
        <v>0</v>
      </c>
      <c r="O9" s="10" t="n">
        <v>0</v>
      </c>
      <c r="P9" s="10" t="n">
        <v>4.2</v>
      </c>
      <c r="Q9" s="10" t="n">
        <v>4.9</v>
      </c>
      <c r="R9" s="10" t="n">
        <v>23.7</v>
      </c>
      <c r="S9" s="10" t="n">
        <v>950</v>
      </c>
      <c r="T9" s="10" t="n">
        <v>400</v>
      </c>
      <c r="U9" s="10" t="n">
        <v>600</v>
      </c>
      <c r="V9" s="10" t="n">
        <v>280</v>
      </c>
      <c r="W9" s="10" t="n">
        <v>0</v>
      </c>
      <c r="X9" s="10" t="n">
        <v>360</v>
      </c>
      <c r="Y9" s="10" t="n">
        <v>200</v>
      </c>
      <c r="Z9" s="10" t="n">
        <v>0</v>
      </c>
      <c r="AA9" s="10" t="n">
        <v>0</v>
      </c>
      <c r="AB9" s="10" t="n">
        <v>85</v>
      </c>
      <c r="AC9" s="10" t="n">
        <v>25</v>
      </c>
      <c r="AD9" s="10" t="n">
        <v>560</v>
      </c>
      <c r="AE9" s="10" t="n">
        <v>115</v>
      </c>
      <c r="AF9" s="10" t="n">
        <v>8</v>
      </c>
      <c r="AG9" s="10" t="n">
        <v>12</v>
      </c>
      <c r="AH9" s="10">
        <f>IF(AND(AC9&lt;&gt;"",AD9&lt;&gt;""),AC9+AD9,"")</f>
        <v/>
      </c>
      <c r="AI9" s="10" t="n">
        <v>3</v>
      </c>
      <c r="AJ9" s="10" t="n">
        <v>0</v>
      </c>
      <c r="AK9" s="10" t="inlineStr">
        <is>
          <t>1:3</t>
        </is>
      </c>
      <c r="AL9" s="10" t="n">
        <v>40</v>
      </c>
      <c r="AM9" s="10" t="inlineStr">
        <is>
          <t>TRIMP 952 — monitorar 48h</t>
        </is>
      </c>
    </row>
    <row r="10" ht="18" customHeight="1">
      <c r="A10" s="9" t="n"/>
      <c r="B10" s="9" t="n"/>
      <c r="C10" s="9" t="n"/>
      <c r="D10" s="9" t="n"/>
      <c r="E10" s="9" t="n"/>
      <c r="F10" s="9" t="n"/>
      <c r="G10" s="9" t="n"/>
      <c r="H10" s="9">
        <f>IF(AND(E10&lt;&gt;"",F10&lt;&gt;""),ROUND(E10/F10,1),"")</f>
        <v/>
      </c>
      <c r="I10" s="9" t="n"/>
      <c r="J10" s="9">
        <f>IF(AND(F10&lt;&gt;"",I10&lt;&gt;""),ROUND(F10*I10,0),"")</f>
        <v/>
      </c>
      <c r="K10" s="9">
        <f>IF(I10="","",IF(I10&lt;=4,"Leve",IF(I10&lt;=6,"Moderado",IF(I10&lt;=8,"Intenso","Muito Intenso"))))</f>
        <v/>
      </c>
      <c r="L10" s="9">
        <f>IF(J10="","",IF(J10&gt;800,"CRÍTICO",IF(J10&gt;600,"ATENÇÃO","OK")))</f>
        <v/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>
        <f>IF(AND(AC10&lt;&gt;"",AD10&lt;&gt;""),AC10+AD10,"")</f>
        <v/>
      </c>
      <c r="AI10" s="9" t="n"/>
      <c r="AJ10" s="9" t="n"/>
      <c r="AK10" s="9" t="n"/>
      <c r="AL10" s="9" t="n"/>
      <c r="AM10" s="9" t="n"/>
    </row>
    <row r="11" ht="18" customHeight="1">
      <c r="A11" s="10" t="n"/>
      <c r="B11" s="10" t="n"/>
      <c r="C11" s="10" t="n"/>
      <c r="D11" s="10" t="n"/>
      <c r="E11" s="10" t="n"/>
      <c r="F11" s="10" t="n"/>
      <c r="G11" s="10" t="n"/>
      <c r="H11" s="10">
        <f>IF(AND(E11&lt;&gt;"",F11&lt;&gt;""),ROUND(E11/F11,1),"")</f>
        <v/>
      </c>
      <c r="I11" s="10" t="n"/>
      <c r="J11" s="10">
        <f>IF(AND(F11&lt;&gt;"",I11&lt;&gt;""),ROUND(F11*I11,0),"")</f>
        <v/>
      </c>
      <c r="K11" s="10">
        <f>IF(I11="","",IF(I11&lt;=4,"Leve",IF(I11&lt;=6,"Moderado",IF(I11&lt;=8,"Intenso","Muito Intenso"))))</f>
        <v/>
      </c>
      <c r="L11" s="10">
        <f>IF(J11="","",IF(J11&gt;800,"CRÍTICO",IF(J11&gt;600,"ATENÇÃO","OK")))</f>
        <v/>
      </c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0">
        <f>IF(AND(AC11&lt;&gt;"",AD11&lt;&gt;""),AC11+AD11,"")</f>
        <v/>
      </c>
      <c r="AI11" s="10" t="n"/>
      <c r="AJ11" s="10" t="n"/>
      <c r="AK11" s="10" t="n"/>
      <c r="AL11" s="10" t="n"/>
      <c r="AM11" s="10" t="n"/>
    </row>
    <row r="12" ht="18" customHeight="1">
      <c r="A12" s="9" t="n"/>
      <c r="B12" s="9" t="n"/>
      <c r="C12" s="9" t="n"/>
      <c r="D12" s="9" t="n"/>
      <c r="E12" s="9" t="n"/>
      <c r="F12" s="9" t="n"/>
      <c r="G12" s="9" t="n"/>
      <c r="H12" s="9">
        <f>IF(AND(E12&lt;&gt;"",F12&lt;&gt;""),ROUND(E12/F12,1),"")</f>
        <v/>
      </c>
      <c r="I12" s="9" t="n"/>
      <c r="J12" s="9">
        <f>IF(AND(F12&lt;&gt;"",I12&lt;&gt;""),ROUND(F12*I12,0),"")</f>
        <v/>
      </c>
      <c r="K12" s="9">
        <f>IF(I12="","",IF(I12&lt;=4,"Leve",IF(I12&lt;=6,"Moderado",IF(I12&lt;=8,"Intenso","Muito Intenso"))))</f>
        <v/>
      </c>
      <c r="L12" s="9">
        <f>IF(J12="","",IF(J12&gt;800,"CRÍTICO",IF(J12&gt;600,"ATENÇÃO","OK")))</f>
        <v/>
      </c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>
        <f>IF(AND(AC12&lt;&gt;"",AD12&lt;&gt;""),AC12+AD12,"")</f>
        <v/>
      </c>
      <c r="AI12" s="9" t="n"/>
      <c r="AJ12" s="9" t="n"/>
      <c r="AK12" s="9" t="n"/>
      <c r="AL12" s="9" t="n"/>
      <c r="AM12" s="9" t="n"/>
    </row>
    <row r="13" ht="18" customHeight="1">
      <c r="A13" s="10" t="n"/>
      <c r="B13" s="10" t="n"/>
      <c r="C13" s="10" t="n"/>
      <c r="D13" s="10" t="n"/>
      <c r="E13" s="10" t="n"/>
      <c r="F13" s="10" t="n"/>
      <c r="G13" s="10" t="n"/>
      <c r="H13" s="10">
        <f>IF(AND(E13&lt;&gt;"",F13&lt;&gt;""),ROUND(E13/F13,1),"")</f>
        <v/>
      </c>
      <c r="I13" s="10" t="n"/>
      <c r="J13" s="10">
        <f>IF(AND(F13&lt;&gt;"",I13&lt;&gt;""),ROUND(F13*I13,0),"")</f>
        <v/>
      </c>
      <c r="K13" s="10">
        <f>IF(I13="","",IF(I13&lt;=4,"Leve",IF(I13&lt;=6,"Moderado",IF(I13&lt;=8,"Intenso","Muito Intenso"))))</f>
        <v/>
      </c>
      <c r="L13" s="10">
        <f>IF(J13="","",IF(J13&gt;800,"CRÍTICO",IF(J13&gt;600,"ATENÇÃO","OK")))</f>
        <v/>
      </c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>
        <f>IF(AND(AC13&lt;&gt;"",AD13&lt;&gt;""),AC13+AD13,"")</f>
        <v/>
      </c>
      <c r="AI13" s="10" t="n"/>
      <c r="AJ13" s="10" t="n"/>
      <c r="AK13" s="10" t="n"/>
      <c r="AL13" s="10" t="n"/>
      <c r="AM13" s="10" t="n"/>
    </row>
    <row r="14" ht="18" customHeight="1">
      <c r="A14" s="9" t="n"/>
      <c r="B14" s="9" t="n"/>
      <c r="C14" s="9" t="n"/>
      <c r="D14" s="9" t="n"/>
      <c r="E14" s="9" t="n"/>
      <c r="F14" s="9" t="n"/>
      <c r="G14" s="9" t="n"/>
      <c r="H14" s="9">
        <f>IF(AND(E14&lt;&gt;"",F14&lt;&gt;""),ROUND(E14/F14,1),"")</f>
        <v/>
      </c>
      <c r="I14" s="9" t="n"/>
      <c r="J14" s="9">
        <f>IF(AND(F14&lt;&gt;"",I14&lt;&gt;""),ROUND(F14*I14,0),"")</f>
        <v/>
      </c>
      <c r="K14" s="9">
        <f>IF(I14="","",IF(I14&lt;=4,"Leve",IF(I14&lt;=6,"Moderado",IF(I14&lt;=8,"Intenso","Muito Intenso"))))</f>
        <v/>
      </c>
      <c r="L14" s="9">
        <f>IF(J14="","",IF(J14&gt;800,"CRÍTICO",IF(J14&gt;600,"ATENÇÃO","OK")))</f>
        <v/>
      </c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>
        <f>IF(AND(AC14&lt;&gt;"",AD14&lt;&gt;""),AC14+AD14,"")</f>
        <v/>
      </c>
      <c r="AI14" s="9" t="n"/>
      <c r="AJ14" s="9" t="n"/>
      <c r="AK14" s="9" t="n"/>
      <c r="AL14" s="9" t="n"/>
      <c r="AM14" s="9" t="n"/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>
        <f>IF(AND(E15&lt;&gt;"",F15&lt;&gt;""),ROUND(E15/F15,1),"")</f>
        <v/>
      </c>
      <c r="I15" s="10" t="n"/>
      <c r="J15" s="10">
        <f>IF(AND(F15&lt;&gt;"",I15&lt;&gt;""),ROUND(F15*I15,0),"")</f>
        <v/>
      </c>
      <c r="K15" s="10">
        <f>IF(I15="","",IF(I15&lt;=4,"Leve",IF(I15&lt;=6,"Moderado",IF(I15&lt;=8,"Intenso","Muito Intenso"))))</f>
        <v/>
      </c>
      <c r="L15" s="10">
        <f>IF(J15="","",IF(J15&gt;800,"CRÍTICO",IF(J15&gt;600,"ATENÇÃO","OK")))</f>
        <v/>
      </c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  <c r="AH15" s="10">
        <f>IF(AND(AC15&lt;&gt;"",AD15&lt;&gt;""),AC15+AD15,"")</f>
        <v/>
      </c>
      <c r="AI15" s="10" t="n"/>
      <c r="AJ15" s="10" t="n"/>
      <c r="AK15" s="10" t="n"/>
      <c r="AL15" s="10" t="n"/>
      <c r="AM15" s="10" t="n"/>
    </row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>
        <f>IF(AND(E16&lt;&gt;"",F16&lt;&gt;""),ROUND(E16/F16,1),"")</f>
        <v/>
      </c>
      <c r="I16" s="9" t="n"/>
      <c r="J16" s="9">
        <f>IF(AND(F16&lt;&gt;"",I16&lt;&gt;""),ROUND(F16*I16,0),"")</f>
        <v/>
      </c>
      <c r="K16" s="9">
        <f>IF(I16="","",IF(I16&lt;=4,"Leve",IF(I16&lt;=6,"Moderado",IF(I16&lt;=8,"Intenso","Muito Intenso"))))</f>
        <v/>
      </c>
      <c r="L16" s="9">
        <f>IF(J16="","",IF(J16&gt;800,"CRÍTICO",IF(J16&gt;600,"ATENÇÃO","OK")))</f>
        <v/>
      </c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>
        <f>IF(AND(AC16&lt;&gt;"",AD16&lt;&gt;""),AC16+AD16,"")</f>
        <v/>
      </c>
      <c r="AI16" s="9" t="n"/>
      <c r="AJ16" s="9" t="n"/>
      <c r="AK16" s="9" t="n"/>
      <c r="AL16" s="9" t="n"/>
      <c r="AM16" s="9" t="n"/>
    </row>
    <row r="17" ht="18" customHeight="1">
      <c r="A17" s="10" t="n"/>
      <c r="B17" s="10" t="n"/>
      <c r="C17" s="10" t="n"/>
      <c r="D17" s="10" t="n"/>
      <c r="E17" s="10" t="n"/>
      <c r="F17" s="10" t="n"/>
      <c r="G17" s="10" t="n"/>
      <c r="H17" s="10">
        <f>IF(AND(E17&lt;&gt;"",F17&lt;&gt;""),ROUND(E17/F17,1),"")</f>
        <v/>
      </c>
      <c r="I17" s="10" t="n"/>
      <c r="J17" s="10">
        <f>IF(AND(F17&lt;&gt;"",I17&lt;&gt;""),ROUND(F17*I17,0),"")</f>
        <v/>
      </c>
      <c r="K17" s="10">
        <f>IF(I17="","",IF(I17&lt;=4,"Leve",IF(I17&lt;=6,"Moderado",IF(I17&lt;=8,"Intenso","Muito Intenso"))))</f>
        <v/>
      </c>
      <c r="L17" s="10">
        <f>IF(J17="","",IF(J17&gt;800,"CRÍTICO",IF(J17&gt;600,"ATENÇÃO","OK")))</f>
        <v/>
      </c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>
        <f>IF(AND(AC17&lt;&gt;"",AD17&lt;&gt;""),AC17+AD17,"")</f>
        <v/>
      </c>
      <c r="AI17" s="10" t="n"/>
      <c r="AJ17" s="10" t="n"/>
      <c r="AK17" s="10" t="n"/>
      <c r="AL17" s="10" t="n"/>
      <c r="AM17" s="10" t="n"/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>
        <f>IF(AND(E18&lt;&gt;"",F18&lt;&gt;""),ROUND(E18/F18,1),"")</f>
        <v/>
      </c>
      <c r="I18" s="9" t="n"/>
      <c r="J18" s="9">
        <f>IF(AND(F18&lt;&gt;"",I18&lt;&gt;""),ROUND(F18*I18,0),"")</f>
        <v/>
      </c>
      <c r="K18" s="9">
        <f>IF(I18="","",IF(I18&lt;=4,"Leve",IF(I18&lt;=6,"Moderado",IF(I18&lt;=8,"Intenso","Muito Intenso"))))</f>
        <v/>
      </c>
      <c r="L18" s="9">
        <f>IF(J18="","",IF(J18&gt;800,"CRÍTICO",IF(J18&gt;600,"ATENÇÃO","OK")))</f>
        <v/>
      </c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>
        <f>IF(AND(AC18&lt;&gt;"",AD18&lt;&gt;""),AC18+AD18,"")</f>
        <v/>
      </c>
      <c r="AI18" s="9" t="n"/>
      <c r="AJ18" s="9" t="n"/>
      <c r="AK18" s="9" t="n"/>
      <c r="AL18" s="9" t="n"/>
      <c r="AM18" s="9" t="n"/>
    </row>
    <row r="19" ht="18" customHeight="1">
      <c r="A19" s="10" t="n"/>
      <c r="B19" s="10" t="n"/>
      <c r="C19" s="10" t="n"/>
      <c r="D19" s="10" t="n"/>
      <c r="E19" s="10" t="n"/>
      <c r="F19" s="10" t="n"/>
      <c r="G19" s="10" t="n"/>
      <c r="H19" s="10">
        <f>IF(AND(E19&lt;&gt;"",F19&lt;&gt;""),ROUND(E19/F19,1),"")</f>
        <v/>
      </c>
      <c r="I19" s="10" t="n"/>
      <c r="J19" s="10">
        <f>IF(AND(F19&lt;&gt;"",I19&lt;&gt;""),ROUND(F19*I19,0),"")</f>
        <v/>
      </c>
      <c r="K19" s="10">
        <f>IF(I19="","",IF(I19&lt;=4,"Leve",IF(I19&lt;=6,"Moderado",IF(I19&lt;=8,"Intenso","Muito Intenso"))))</f>
        <v/>
      </c>
      <c r="L19" s="10">
        <f>IF(J19="","",IF(J19&gt;800,"CRÍTICO",IF(J19&gt;600,"ATENÇÃO","OK")))</f>
        <v/>
      </c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>
        <f>IF(AND(AC19&lt;&gt;"",AD19&lt;&gt;""),AC19+AD19,"")</f>
        <v/>
      </c>
      <c r="AI19" s="10" t="n"/>
      <c r="AJ19" s="10" t="n"/>
      <c r="AK19" s="10" t="n"/>
      <c r="AL19" s="10" t="n"/>
      <c r="AM19" s="10" t="n"/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>
        <f>IF(AND(E20&lt;&gt;"",F20&lt;&gt;""),ROUND(E20/F20,1),"")</f>
        <v/>
      </c>
      <c r="I20" s="9" t="n"/>
      <c r="J20" s="9">
        <f>IF(AND(F20&lt;&gt;"",I20&lt;&gt;""),ROUND(F20*I20,0),"")</f>
        <v/>
      </c>
      <c r="K20" s="9">
        <f>IF(I20="","",IF(I20&lt;=4,"Leve",IF(I20&lt;=6,"Moderado",IF(I20&lt;=8,"Intenso","Muito Intenso"))))</f>
        <v/>
      </c>
      <c r="L20" s="9">
        <f>IF(J20="","",IF(J20&gt;800,"CRÍTICO",IF(J20&gt;600,"ATENÇÃO","OK")))</f>
        <v/>
      </c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>
        <f>IF(AND(AC20&lt;&gt;"",AD20&lt;&gt;""),AC20+AD20,"")</f>
        <v/>
      </c>
      <c r="AI20" s="9" t="n"/>
      <c r="AJ20" s="9" t="n"/>
      <c r="AK20" s="9" t="n"/>
      <c r="AL20" s="9" t="n"/>
      <c r="AM20" s="9" t="n"/>
    </row>
    <row r="21" ht="18" customHeight="1">
      <c r="A21" s="10" t="n"/>
      <c r="B21" s="10" t="n"/>
      <c r="C21" s="10" t="n"/>
      <c r="D21" s="10" t="n"/>
      <c r="E21" s="10" t="n"/>
      <c r="F21" s="10" t="n"/>
      <c r="G21" s="10" t="n"/>
      <c r="H21" s="10">
        <f>IF(AND(E21&lt;&gt;"",F21&lt;&gt;""),ROUND(E21/F21,1),"")</f>
        <v/>
      </c>
      <c r="I21" s="10" t="n"/>
      <c r="J21" s="10">
        <f>IF(AND(F21&lt;&gt;"",I21&lt;&gt;""),ROUND(F21*I21,0),"")</f>
        <v/>
      </c>
      <c r="K21" s="10">
        <f>IF(I21="","",IF(I21&lt;=4,"Leve",IF(I21&lt;=6,"Moderado",IF(I21&lt;=8,"Intenso","Muito Intenso"))))</f>
        <v/>
      </c>
      <c r="L21" s="10">
        <f>IF(J21="","",IF(J21&gt;800,"CRÍTICO",IF(J21&gt;600,"ATENÇÃO","OK")))</f>
        <v/>
      </c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0" t="n"/>
      <c r="Y21" s="10" t="n"/>
      <c r="Z21" s="10" t="n"/>
      <c r="AA21" s="10" t="n"/>
      <c r="AB21" s="10" t="n"/>
      <c r="AC21" s="10" t="n"/>
      <c r="AD21" s="10" t="n"/>
      <c r="AE21" s="10" t="n"/>
      <c r="AF21" s="10" t="n"/>
      <c r="AG21" s="10" t="n"/>
      <c r="AH21" s="10">
        <f>IF(AND(AC21&lt;&gt;"",AD21&lt;&gt;""),AC21+AD21,"")</f>
        <v/>
      </c>
      <c r="AI21" s="10" t="n"/>
      <c r="AJ21" s="10" t="n"/>
      <c r="AK21" s="10" t="n"/>
      <c r="AL21" s="10" t="n"/>
      <c r="AM21" s="10" t="n"/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>
        <f>IF(AND(E22&lt;&gt;"",F22&lt;&gt;""),ROUND(E22/F22,1),"")</f>
        <v/>
      </c>
      <c r="I22" s="9" t="n"/>
      <c r="J22" s="9">
        <f>IF(AND(F22&lt;&gt;"",I22&lt;&gt;""),ROUND(F22*I22,0),"")</f>
        <v/>
      </c>
      <c r="K22" s="9">
        <f>IF(I22="","",IF(I22&lt;=4,"Leve",IF(I22&lt;=6,"Moderado",IF(I22&lt;=8,"Intenso","Muito Intenso"))))</f>
        <v/>
      </c>
      <c r="L22" s="9">
        <f>IF(J22="","",IF(J22&gt;800,"CRÍTICO",IF(J22&gt;600,"ATENÇÃO","OK")))</f>
        <v/>
      </c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>
        <f>IF(AND(AC22&lt;&gt;"",AD22&lt;&gt;""),AC22+AD22,"")</f>
        <v/>
      </c>
      <c r="AI22" s="9" t="n"/>
      <c r="AJ22" s="9" t="n"/>
      <c r="AK22" s="9" t="n"/>
      <c r="AL22" s="9" t="n"/>
      <c r="AM22" s="9" t="n"/>
    </row>
    <row r="23" ht="18" customHeight="1">
      <c r="A23" s="10" t="n"/>
      <c r="B23" s="10" t="n"/>
      <c r="C23" s="10" t="n"/>
      <c r="D23" s="10" t="n"/>
      <c r="E23" s="10" t="n"/>
      <c r="F23" s="10" t="n"/>
      <c r="G23" s="10" t="n"/>
      <c r="H23" s="10">
        <f>IF(AND(E23&lt;&gt;"",F23&lt;&gt;""),ROUND(E23/F23,1),"")</f>
        <v/>
      </c>
      <c r="I23" s="10" t="n"/>
      <c r="J23" s="10">
        <f>IF(AND(F23&lt;&gt;"",I23&lt;&gt;""),ROUND(F23*I23,0),"")</f>
        <v/>
      </c>
      <c r="K23" s="10">
        <f>IF(I23="","",IF(I23&lt;=4,"Leve",IF(I23&lt;=6,"Moderado",IF(I23&lt;=8,"Intenso","Muito Intenso"))))</f>
        <v/>
      </c>
      <c r="L23" s="10">
        <f>IF(J23="","",IF(J23&gt;800,"CRÍTICO",IF(J23&gt;600,"ATENÇÃO","OK")))</f>
        <v/>
      </c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>
        <f>IF(AND(AC23&lt;&gt;"",AD23&lt;&gt;""),AC23+AD23,"")</f>
        <v/>
      </c>
      <c r="AI23" s="10" t="n"/>
      <c r="AJ23" s="10" t="n"/>
      <c r="AK23" s="10" t="n"/>
      <c r="AL23" s="10" t="n"/>
      <c r="AM23" s="10" t="n"/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>
        <f>IF(AND(E24&lt;&gt;"",F24&lt;&gt;""),ROUND(E24/F24,1),"")</f>
        <v/>
      </c>
      <c r="I24" s="9" t="n"/>
      <c r="J24" s="9">
        <f>IF(AND(F24&lt;&gt;"",I24&lt;&gt;""),ROUND(F24*I24,0),"")</f>
        <v/>
      </c>
      <c r="K24" s="9">
        <f>IF(I24="","",IF(I24&lt;=4,"Leve",IF(I24&lt;=6,"Moderado",IF(I24&lt;=8,"Intenso","Muito Intenso"))))</f>
        <v/>
      </c>
      <c r="L24" s="9">
        <f>IF(J24="","",IF(J24&gt;800,"CRÍTICO",IF(J24&gt;600,"ATENÇÃO","OK")))</f>
        <v/>
      </c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>
        <f>IF(AND(AC24&lt;&gt;"",AD24&lt;&gt;""),AC24+AD24,"")</f>
        <v/>
      </c>
      <c r="AI24" s="9" t="n"/>
      <c r="AJ24" s="9" t="n"/>
      <c r="AK24" s="9" t="n"/>
      <c r="AL24" s="9" t="n"/>
      <c r="AM24" s="9" t="n"/>
    </row>
    <row r="25" ht="18" customHeight="1">
      <c r="A25" s="10" t="n"/>
      <c r="B25" s="10" t="n"/>
      <c r="C25" s="10" t="n"/>
      <c r="D25" s="10" t="n"/>
      <c r="E25" s="10" t="n"/>
      <c r="F25" s="10" t="n"/>
      <c r="G25" s="10" t="n"/>
      <c r="H25" s="10">
        <f>IF(AND(E25&lt;&gt;"",F25&lt;&gt;""),ROUND(E25/F25,1),"")</f>
        <v/>
      </c>
      <c r="I25" s="10" t="n"/>
      <c r="J25" s="10">
        <f>IF(AND(F25&lt;&gt;"",I25&lt;&gt;""),ROUND(F25*I25,0),"")</f>
        <v/>
      </c>
      <c r="K25" s="10">
        <f>IF(I25="","",IF(I25&lt;=4,"Leve",IF(I25&lt;=6,"Moderado",IF(I25&lt;=8,"Intenso","Muito Intenso"))))</f>
        <v/>
      </c>
      <c r="L25" s="10">
        <f>IF(J25="","",IF(J25&gt;800,"CRÍTICO",IF(J25&gt;600,"ATENÇÃO","OK")))</f>
        <v/>
      </c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>
        <f>IF(AND(AC25&lt;&gt;"",AD25&lt;&gt;""),AC25+AD25,"")</f>
        <v/>
      </c>
      <c r="AI25" s="10" t="n"/>
      <c r="AJ25" s="10" t="n"/>
      <c r="AK25" s="10" t="n"/>
      <c r="AL25" s="10" t="n"/>
      <c r="AM25" s="10" t="n"/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>
        <f>IF(AND(E26&lt;&gt;"",F26&lt;&gt;""),ROUND(E26/F26,1),"")</f>
        <v/>
      </c>
      <c r="I26" s="9" t="n"/>
      <c r="J26" s="9">
        <f>IF(AND(F26&lt;&gt;"",I26&lt;&gt;""),ROUND(F26*I26,0),"")</f>
        <v/>
      </c>
      <c r="K26" s="9">
        <f>IF(I26="","",IF(I26&lt;=4,"Leve",IF(I26&lt;=6,"Moderado",IF(I26&lt;=8,"Intenso","Muito Intenso"))))</f>
        <v/>
      </c>
      <c r="L26" s="9">
        <f>IF(J26="","",IF(J26&gt;800,"CRÍTICO",IF(J26&gt;600,"ATENÇÃO","OK")))</f>
        <v/>
      </c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>
        <f>IF(AND(AC26&lt;&gt;"",AD26&lt;&gt;""),AC26+AD26,"")</f>
        <v/>
      </c>
      <c r="AI26" s="9" t="n"/>
      <c r="AJ26" s="9" t="n"/>
      <c r="AK26" s="9" t="n"/>
      <c r="AL26" s="9" t="n"/>
      <c r="AM26" s="9" t="n"/>
    </row>
    <row r="27" ht="18" customHeight="1">
      <c r="A27" s="10" t="n"/>
      <c r="B27" s="10" t="n"/>
      <c r="C27" s="10" t="n"/>
      <c r="D27" s="10" t="n"/>
      <c r="E27" s="10" t="n"/>
      <c r="F27" s="10" t="n"/>
      <c r="G27" s="10" t="n"/>
      <c r="H27" s="10">
        <f>IF(AND(E27&lt;&gt;"",F27&lt;&gt;""),ROUND(E27/F27,1),"")</f>
        <v/>
      </c>
      <c r="I27" s="10" t="n"/>
      <c r="J27" s="10">
        <f>IF(AND(F27&lt;&gt;"",I27&lt;&gt;""),ROUND(F27*I27,0),"")</f>
        <v/>
      </c>
      <c r="K27" s="10">
        <f>IF(I27="","",IF(I27&lt;=4,"Leve",IF(I27&lt;=6,"Moderado",IF(I27&lt;=8,"Intenso","Muito Intenso"))))</f>
        <v/>
      </c>
      <c r="L27" s="10">
        <f>IF(J27="","",IF(J27&gt;800,"CRÍTICO",IF(J27&gt;600,"ATENÇÃO","OK")))</f>
        <v/>
      </c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/>
      <c r="AD27" s="10" t="n"/>
      <c r="AE27" s="10" t="n"/>
      <c r="AF27" s="10" t="n"/>
      <c r="AG27" s="10" t="n"/>
      <c r="AH27" s="10">
        <f>IF(AND(AC27&lt;&gt;"",AD27&lt;&gt;""),AC27+AD27,"")</f>
        <v/>
      </c>
      <c r="AI27" s="10" t="n"/>
      <c r="AJ27" s="10" t="n"/>
      <c r="AK27" s="10" t="n"/>
      <c r="AL27" s="10" t="n"/>
      <c r="AM27" s="10" t="n"/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>
        <f>IF(AND(E28&lt;&gt;"",F28&lt;&gt;""),ROUND(E28/F28,1),"")</f>
        <v/>
      </c>
      <c r="I28" s="9" t="n"/>
      <c r="J28" s="9">
        <f>IF(AND(F28&lt;&gt;"",I28&lt;&gt;""),ROUND(F28*I28,0),"")</f>
        <v/>
      </c>
      <c r="K28" s="9">
        <f>IF(I28="","",IF(I28&lt;=4,"Leve",IF(I28&lt;=6,"Moderado",IF(I28&lt;=8,"Intenso","Muito Intenso"))))</f>
        <v/>
      </c>
      <c r="L28" s="9">
        <f>IF(J28="","",IF(J28&gt;800,"CRÍTICO",IF(J28&gt;600,"ATENÇÃO","OK")))</f>
        <v/>
      </c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>
        <f>IF(AND(AC28&lt;&gt;"",AD28&lt;&gt;""),AC28+AD28,"")</f>
        <v/>
      </c>
      <c r="AI28" s="9" t="n"/>
      <c r="AJ28" s="9" t="n"/>
      <c r="AK28" s="9" t="n"/>
      <c r="AL28" s="9" t="n"/>
      <c r="AM28" s="9" t="n"/>
    </row>
    <row r="29" ht="18" customHeight="1">
      <c r="A29" s="10" t="n"/>
      <c r="B29" s="10" t="n"/>
      <c r="C29" s="10" t="n"/>
      <c r="D29" s="10" t="n"/>
      <c r="E29" s="10" t="n"/>
      <c r="F29" s="10" t="n"/>
      <c r="G29" s="10" t="n"/>
      <c r="H29" s="10">
        <f>IF(AND(E29&lt;&gt;"",F29&lt;&gt;""),ROUND(E29/F29,1),"")</f>
        <v/>
      </c>
      <c r="I29" s="10" t="n"/>
      <c r="J29" s="10">
        <f>IF(AND(F29&lt;&gt;"",I29&lt;&gt;""),ROUND(F29*I29,0),"")</f>
        <v/>
      </c>
      <c r="K29" s="10">
        <f>IF(I29="","",IF(I29&lt;=4,"Leve",IF(I29&lt;=6,"Moderado",IF(I29&lt;=8,"Intenso","Muito Intenso"))))</f>
        <v/>
      </c>
      <c r="L29" s="10">
        <f>IF(J29="","",IF(J29&gt;800,"CRÍTICO",IF(J29&gt;600,"ATENÇÃO","OK")))</f>
        <v/>
      </c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/>
      <c r="AD29" s="10" t="n"/>
      <c r="AE29" s="10" t="n"/>
      <c r="AF29" s="10" t="n"/>
      <c r="AG29" s="10" t="n"/>
      <c r="AH29" s="10">
        <f>IF(AND(AC29&lt;&gt;"",AD29&lt;&gt;""),AC29+AD29,"")</f>
        <v/>
      </c>
      <c r="AI29" s="10" t="n"/>
      <c r="AJ29" s="10" t="n"/>
      <c r="AK29" s="10" t="n"/>
      <c r="AL29" s="10" t="n"/>
      <c r="AM29" s="10" t="n"/>
    </row>
    <row r="30" ht="18" customHeight="1">
      <c r="A30" s="9" t="n"/>
      <c r="B30" s="9" t="n"/>
      <c r="C30" s="9" t="n"/>
      <c r="D30" s="9" t="n"/>
      <c r="E30" s="9" t="n"/>
      <c r="F30" s="9" t="n"/>
      <c r="G30" s="9" t="n"/>
      <c r="H30" s="9">
        <f>IF(AND(E30&lt;&gt;"",F30&lt;&gt;""),ROUND(E30/F30,1),"")</f>
        <v/>
      </c>
      <c r="I30" s="9" t="n"/>
      <c r="J30" s="9">
        <f>IF(AND(F30&lt;&gt;"",I30&lt;&gt;""),ROUND(F30*I30,0),"")</f>
        <v/>
      </c>
      <c r="K30" s="9">
        <f>IF(I30="","",IF(I30&lt;=4,"Leve",IF(I30&lt;=6,"Moderado",IF(I30&lt;=8,"Intenso","Muito Intenso"))))</f>
        <v/>
      </c>
      <c r="L30" s="9">
        <f>IF(J30="","",IF(J30&gt;800,"CRÍTICO",IF(J30&gt;600,"ATENÇÃO","OK")))</f>
        <v/>
      </c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>
        <f>IF(AND(AC30&lt;&gt;"",AD30&lt;&gt;""),AC30+AD30,"")</f>
        <v/>
      </c>
      <c r="AI30" s="9" t="n"/>
      <c r="AJ30" s="9" t="n"/>
      <c r="AK30" s="9" t="n"/>
      <c r="AL30" s="9" t="n"/>
      <c r="AM30" s="9" t="n"/>
    </row>
    <row r="31" ht="18" customHeight="1">
      <c r="A31" s="10" t="n"/>
      <c r="B31" s="10" t="n"/>
      <c r="C31" s="10" t="n"/>
      <c r="D31" s="10" t="n"/>
      <c r="E31" s="10" t="n"/>
      <c r="F31" s="10" t="n"/>
      <c r="G31" s="10" t="n"/>
      <c r="H31" s="10">
        <f>IF(AND(E31&lt;&gt;"",F31&lt;&gt;""),ROUND(E31/F31,1),"")</f>
        <v/>
      </c>
      <c r="I31" s="10" t="n"/>
      <c r="J31" s="10">
        <f>IF(AND(F31&lt;&gt;"",I31&lt;&gt;""),ROUND(F31*I31,0),"")</f>
        <v/>
      </c>
      <c r="K31" s="10">
        <f>IF(I31="","",IF(I31&lt;=4,"Leve",IF(I31&lt;=6,"Moderado",IF(I31&lt;=8,"Intenso","Muito Intenso"))))</f>
        <v/>
      </c>
      <c r="L31" s="10">
        <f>IF(J31="","",IF(J31&gt;800,"CRÍTICO",IF(J31&gt;600,"ATENÇÃO","OK")))</f>
        <v/>
      </c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  <c r="AH31" s="10">
        <f>IF(AND(AC31&lt;&gt;"",AD31&lt;&gt;""),AC31+AD31,"")</f>
        <v/>
      </c>
      <c r="AI31" s="10" t="n"/>
      <c r="AJ31" s="10" t="n"/>
      <c r="AK31" s="10" t="n"/>
      <c r="AL31" s="10" t="n"/>
      <c r="AM31" s="10" t="n"/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>
        <f>IF(AND(E32&lt;&gt;"",F32&lt;&gt;""),ROUND(E32/F32,1),"")</f>
        <v/>
      </c>
      <c r="I32" s="9" t="n"/>
      <c r="J32" s="9">
        <f>IF(AND(F32&lt;&gt;"",I32&lt;&gt;""),ROUND(F32*I32,0),"")</f>
        <v/>
      </c>
      <c r="K32" s="9">
        <f>IF(I32="","",IF(I32&lt;=4,"Leve",IF(I32&lt;=6,"Moderado",IF(I32&lt;=8,"Intenso","Muito Intenso"))))</f>
        <v/>
      </c>
      <c r="L32" s="9">
        <f>IF(J32="","",IF(J32&gt;800,"CRÍTICO",IF(J32&gt;600,"ATENÇÃO","OK")))</f>
        <v/>
      </c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>
        <f>IF(AND(AC32&lt;&gt;"",AD32&lt;&gt;""),AC32+AD32,"")</f>
        <v/>
      </c>
      <c r="AI32" s="9" t="n"/>
      <c r="AJ32" s="9" t="n"/>
      <c r="AK32" s="9" t="n"/>
      <c r="AL32" s="9" t="n"/>
      <c r="AM32" s="9" t="n"/>
    </row>
    <row r="33" ht="18" customHeight="1">
      <c r="A33" s="10" t="n"/>
      <c r="B33" s="10" t="n"/>
      <c r="C33" s="10" t="n"/>
      <c r="D33" s="10" t="n"/>
      <c r="E33" s="10" t="n"/>
      <c r="F33" s="10" t="n"/>
      <c r="G33" s="10" t="n"/>
      <c r="H33" s="10">
        <f>IF(AND(E33&lt;&gt;"",F33&lt;&gt;""),ROUND(E33/F33,1),"")</f>
        <v/>
      </c>
      <c r="I33" s="10" t="n"/>
      <c r="J33" s="10">
        <f>IF(AND(F33&lt;&gt;"",I33&lt;&gt;""),ROUND(F33*I33,0),"")</f>
        <v/>
      </c>
      <c r="K33" s="10">
        <f>IF(I33="","",IF(I33&lt;=4,"Leve",IF(I33&lt;=6,"Moderado",IF(I33&lt;=8,"Intenso","Muito Intenso"))))</f>
        <v/>
      </c>
      <c r="L33" s="10">
        <f>IF(J33="","",IF(J33&gt;800,"CRÍTICO",IF(J33&gt;600,"ATENÇÃO","OK")))</f>
        <v/>
      </c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  <c r="AE33" s="10" t="n"/>
      <c r="AF33" s="10" t="n"/>
      <c r="AG33" s="10" t="n"/>
      <c r="AH33" s="10">
        <f>IF(AND(AC33&lt;&gt;"",AD33&lt;&gt;""),AC33+AD33,"")</f>
        <v/>
      </c>
      <c r="AI33" s="10" t="n"/>
      <c r="AJ33" s="10" t="n"/>
      <c r="AK33" s="10" t="n"/>
      <c r="AL33" s="10" t="n"/>
      <c r="AM33" s="10" t="n"/>
    </row>
    <row r="34" ht="18" customHeight="1">
      <c r="A34" s="9" t="n"/>
      <c r="B34" s="9" t="n"/>
      <c r="C34" s="9" t="n"/>
      <c r="D34" s="9" t="n"/>
      <c r="E34" s="9" t="n"/>
      <c r="F34" s="9" t="n"/>
      <c r="G34" s="9" t="n"/>
      <c r="H34" s="9">
        <f>IF(AND(E34&lt;&gt;"",F34&lt;&gt;""),ROUND(E34/F34,1),"")</f>
        <v/>
      </c>
      <c r="I34" s="9" t="n"/>
      <c r="J34" s="9">
        <f>IF(AND(F34&lt;&gt;"",I34&lt;&gt;""),ROUND(F34*I34,0),"")</f>
        <v/>
      </c>
      <c r="K34" s="9">
        <f>IF(I34="","",IF(I34&lt;=4,"Leve",IF(I34&lt;=6,"Moderado",IF(I34&lt;=8,"Intenso","Muito Intenso"))))</f>
        <v/>
      </c>
      <c r="L34" s="9">
        <f>IF(J34="","",IF(J34&gt;800,"CRÍTICO",IF(J34&gt;600,"ATENÇÃO","OK")))</f>
        <v/>
      </c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>
        <f>IF(AND(AC34&lt;&gt;"",AD34&lt;&gt;""),AC34+AD34,"")</f>
        <v/>
      </c>
      <c r="AI34" s="9" t="n"/>
      <c r="AJ34" s="9" t="n"/>
      <c r="AK34" s="9" t="n"/>
      <c r="AL34" s="9" t="n"/>
      <c r="AM34" s="9" t="n"/>
    </row>
    <row r="35" ht="18" customHeight="1">
      <c r="A35" s="10" t="n"/>
      <c r="B35" s="10" t="n"/>
      <c r="C35" s="10" t="n"/>
      <c r="D35" s="10" t="n"/>
      <c r="E35" s="10" t="n"/>
      <c r="F35" s="10" t="n"/>
      <c r="G35" s="10" t="n"/>
      <c r="H35" s="10">
        <f>IF(AND(E35&lt;&gt;"",F35&lt;&gt;""),ROUND(E35/F35,1),"")</f>
        <v/>
      </c>
      <c r="I35" s="10" t="n"/>
      <c r="J35" s="10">
        <f>IF(AND(F35&lt;&gt;"",I35&lt;&gt;""),ROUND(F35*I35,0),"")</f>
        <v/>
      </c>
      <c r="K35" s="10">
        <f>IF(I35="","",IF(I35&lt;=4,"Leve",IF(I35&lt;=6,"Moderado",IF(I35&lt;=8,"Intenso","Muito Intenso"))))</f>
        <v/>
      </c>
      <c r="L35" s="10">
        <f>IF(J35="","",IF(J35&gt;800,"CRÍTICO",IF(J35&gt;600,"ATENÇÃO","OK")))</f>
        <v/>
      </c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  <c r="AE35" s="10" t="n"/>
      <c r="AF35" s="10" t="n"/>
      <c r="AG35" s="10" t="n"/>
      <c r="AH35" s="10">
        <f>IF(AND(AC35&lt;&gt;"",AD35&lt;&gt;""),AC35+AD35,"")</f>
        <v/>
      </c>
      <c r="AI35" s="10" t="n"/>
      <c r="AJ35" s="10" t="n"/>
      <c r="AK35" s="10" t="n"/>
      <c r="AL35" s="10" t="n"/>
      <c r="AM35" s="10" t="n"/>
    </row>
    <row r="36" ht="18" customHeight="1">
      <c r="A36" s="9" t="n"/>
      <c r="B36" s="9" t="n"/>
      <c r="C36" s="9" t="n"/>
      <c r="D36" s="9" t="n"/>
      <c r="E36" s="9" t="n"/>
      <c r="F36" s="9" t="n"/>
      <c r="G36" s="9" t="n"/>
      <c r="H36" s="9">
        <f>IF(AND(E36&lt;&gt;"",F36&lt;&gt;""),ROUND(E36/F36,1),"")</f>
        <v/>
      </c>
      <c r="I36" s="9" t="n"/>
      <c r="J36" s="9">
        <f>IF(AND(F36&lt;&gt;"",I36&lt;&gt;""),ROUND(F36*I36,0),"")</f>
        <v/>
      </c>
      <c r="K36" s="9">
        <f>IF(I36="","",IF(I36&lt;=4,"Leve",IF(I36&lt;=6,"Moderado",IF(I36&lt;=8,"Intenso","Muito Intenso"))))</f>
        <v/>
      </c>
      <c r="L36" s="9">
        <f>IF(J36="","",IF(J36&gt;800,"CRÍTICO",IF(J36&gt;600,"ATENÇÃO","OK")))</f>
        <v/>
      </c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>
        <f>IF(AND(AC36&lt;&gt;"",AD36&lt;&gt;""),AC36+AD36,"")</f>
        <v/>
      </c>
      <c r="AI36" s="9" t="n"/>
      <c r="AJ36" s="9" t="n"/>
      <c r="AK36" s="9" t="n"/>
      <c r="AL36" s="9" t="n"/>
      <c r="AM36" s="9" t="n"/>
    </row>
    <row r="37" ht="18" customHeight="1">
      <c r="A37" s="10" t="n"/>
      <c r="B37" s="10" t="n"/>
      <c r="C37" s="10" t="n"/>
      <c r="D37" s="10" t="n"/>
      <c r="E37" s="10" t="n"/>
      <c r="F37" s="10" t="n"/>
      <c r="G37" s="10" t="n"/>
      <c r="H37" s="10">
        <f>IF(AND(E37&lt;&gt;"",F37&lt;&gt;""),ROUND(E37/F37,1),"")</f>
        <v/>
      </c>
      <c r="I37" s="10" t="n"/>
      <c r="J37" s="10">
        <f>IF(AND(F37&lt;&gt;"",I37&lt;&gt;""),ROUND(F37*I37,0),"")</f>
        <v/>
      </c>
      <c r="K37" s="10">
        <f>IF(I37="","",IF(I37&lt;=4,"Leve",IF(I37&lt;=6,"Moderado",IF(I37&lt;=8,"Intenso","Muito Intenso"))))</f>
        <v/>
      </c>
      <c r="L37" s="10">
        <f>IF(J37="","",IF(J37&gt;800,"CRÍTICO",IF(J37&gt;600,"ATENÇÃO","OK")))</f>
        <v/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/>
      <c r="AD37" s="10" t="n"/>
      <c r="AE37" s="10" t="n"/>
      <c r="AF37" s="10" t="n"/>
      <c r="AG37" s="10" t="n"/>
      <c r="AH37" s="10">
        <f>IF(AND(AC37&lt;&gt;"",AD37&lt;&gt;""),AC37+AD37,"")</f>
        <v/>
      </c>
      <c r="AI37" s="10" t="n"/>
      <c r="AJ37" s="10" t="n"/>
      <c r="AK37" s="10" t="n"/>
      <c r="AL37" s="10" t="n"/>
      <c r="AM37" s="10" t="n"/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>
        <f>IF(AND(E38&lt;&gt;"",F38&lt;&gt;""),ROUND(E38/F38,1),"")</f>
        <v/>
      </c>
      <c r="I38" s="9" t="n"/>
      <c r="J38" s="9">
        <f>IF(AND(F38&lt;&gt;"",I38&lt;&gt;""),ROUND(F38*I38,0),"")</f>
        <v/>
      </c>
      <c r="K38" s="9">
        <f>IF(I38="","",IF(I38&lt;=4,"Leve",IF(I38&lt;=6,"Moderado",IF(I38&lt;=8,"Intenso","Muito Intenso"))))</f>
        <v/>
      </c>
      <c r="L38" s="9">
        <f>IF(J38="","",IF(J38&gt;800,"CRÍTICO",IF(J38&gt;600,"ATENÇÃO","OK")))</f>
        <v/>
      </c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>
        <f>IF(AND(AC38&lt;&gt;"",AD38&lt;&gt;""),AC38+AD38,"")</f>
        <v/>
      </c>
      <c r="AI38" s="9" t="n"/>
      <c r="AJ38" s="9" t="n"/>
      <c r="AK38" s="9" t="n"/>
      <c r="AL38" s="9" t="n"/>
      <c r="AM38" s="9" t="n"/>
    </row>
    <row r="39" ht="18" customHeight="1">
      <c r="A39" s="10" t="n"/>
      <c r="B39" s="10" t="n"/>
      <c r="C39" s="10" t="n"/>
      <c r="D39" s="10" t="n"/>
      <c r="E39" s="10" t="n"/>
      <c r="F39" s="10" t="n"/>
      <c r="G39" s="10" t="n"/>
      <c r="H39" s="10">
        <f>IF(AND(E39&lt;&gt;"",F39&lt;&gt;""),ROUND(E39/F39,1),"")</f>
        <v/>
      </c>
      <c r="I39" s="10" t="n"/>
      <c r="J39" s="10">
        <f>IF(AND(F39&lt;&gt;"",I39&lt;&gt;""),ROUND(F39*I39,0),"")</f>
        <v/>
      </c>
      <c r="K39" s="10">
        <f>IF(I39="","",IF(I39&lt;=4,"Leve",IF(I39&lt;=6,"Moderado",IF(I39&lt;=8,"Intenso","Muito Intenso"))))</f>
        <v/>
      </c>
      <c r="L39" s="10">
        <f>IF(J39="","",IF(J39&gt;800,"CRÍTICO",IF(J39&gt;600,"ATENÇÃO","OK")))</f>
        <v/>
      </c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>
        <f>IF(AND(AC39&lt;&gt;"",AD39&lt;&gt;""),AC39+AD39,"")</f>
        <v/>
      </c>
      <c r="AI39" s="10" t="n"/>
      <c r="AJ39" s="10" t="n"/>
      <c r="AK39" s="10" t="n"/>
      <c r="AL39" s="10" t="n"/>
      <c r="AM39" s="10" t="n"/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>
        <f>IF(AND(E40&lt;&gt;"",F40&lt;&gt;""),ROUND(E40/F40,1),"")</f>
        <v/>
      </c>
      <c r="I40" s="9" t="n"/>
      <c r="J40" s="9">
        <f>IF(AND(F40&lt;&gt;"",I40&lt;&gt;""),ROUND(F40*I40,0),"")</f>
        <v/>
      </c>
      <c r="K40" s="9">
        <f>IF(I40="","",IF(I40&lt;=4,"Leve",IF(I40&lt;=6,"Moderado",IF(I40&lt;=8,"Intenso","Muito Intenso"))))</f>
        <v/>
      </c>
      <c r="L40" s="9">
        <f>IF(J40="","",IF(J40&gt;800,"CRÍTICO",IF(J40&gt;600,"ATENÇÃO","OK")))</f>
        <v/>
      </c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>
        <f>IF(AND(AC40&lt;&gt;"",AD40&lt;&gt;""),AC40+AD40,"")</f>
        <v/>
      </c>
      <c r="AI40" s="9" t="n"/>
      <c r="AJ40" s="9" t="n"/>
      <c r="AK40" s="9" t="n"/>
      <c r="AL40" s="9" t="n"/>
      <c r="AM40" s="9" t="n"/>
    </row>
    <row r="41" ht="18" customHeight="1">
      <c r="A41" s="10" t="n"/>
      <c r="B41" s="10" t="n"/>
      <c r="C41" s="10" t="n"/>
      <c r="D41" s="10" t="n"/>
      <c r="E41" s="10" t="n"/>
      <c r="F41" s="10" t="n"/>
      <c r="G41" s="10" t="n"/>
      <c r="H41" s="10">
        <f>IF(AND(E41&lt;&gt;"",F41&lt;&gt;""),ROUND(E41/F41,1),"")</f>
        <v/>
      </c>
      <c r="I41" s="10" t="n"/>
      <c r="J41" s="10">
        <f>IF(AND(F41&lt;&gt;"",I41&lt;&gt;""),ROUND(F41*I41,0),"")</f>
        <v/>
      </c>
      <c r="K41" s="10">
        <f>IF(I41="","",IF(I41&lt;=4,"Leve",IF(I41&lt;=6,"Moderado",IF(I41&lt;=8,"Intenso","Muito Intenso"))))</f>
        <v/>
      </c>
      <c r="L41" s="10">
        <f>IF(J41="","",IF(J41&gt;800,"CRÍTICO",IF(J41&gt;600,"ATENÇÃO","OK")))</f>
        <v/>
      </c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  <c r="V41" s="10" t="n"/>
      <c r="W41" s="10" t="n"/>
      <c r="X41" s="10" t="n"/>
      <c r="Y41" s="10" t="n"/>
      <c r="Z41" s="10" t="n"/>
      <c r="AA41" s="10" t="n"/>
      <c r="AB41" s="10" t="n"/>
      <c r="AC41" s="10" t="n"/>
      <c r="AD41" s="10" t="n"/>
      <c r="AE41" s="10" t="n"/>
      <c r="AF41" s="10" t="n"/>
      <c r="AG41" s="10" t="n"/>
      <c r="AH41" s="10">
        <f>IF(AND(AC41&lt;&gt;"",AD41&lt;&gt;""),AC41+AD41,"")</f>
        <v/>
      </c>
      <c r="AI41" s="10" t="n"/>
      <c r="AJ41" s="10" t="n"/>
      <c r="AK41" s="10" t="n"/>
      <c r="AL41" s="10" t="n"/>
      <c r="AM41" s="10" t="n"/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>
        <f>IF(AND(E42&lt;&gt;"",F42&lt;&gt;""),ROUND(E42/F42,1),"")</f>
        <v/>
      </c>
      <c r="I42" s="9" t="n"/>
      <c r="J42" s="9">
        <f>IF(AND(F42&lt;&gt;"",I42&lt;&gt;""),ROUND(F42*I42,0),"")</f>
        <v/>
      </c>
      <c r="K42" s="9">
        <f>IF(I42="","",IF(I42&lt;=4,"Leve",IF(I42&lt;=6,"Moderado",IF(I42&lt;=8,"Intenso","Muito Intenso"))))</f>
        <v/>
      </c>
      <c r="L42" s="9">
        <f>IF(J42="","",IF(J42&gt;800,"CRÍTICO",IF(J42&gt;600,"ATENÇÃO","OK")))</f>
        <v/>
      </c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>
        <f>IF(AND(AC42&lt;&gt;"",AD42&lt;&gt;""),AC42+AD42,"")</f>
        <v/>
      </c>
      <c r="AI42" s="9" t="n"/>
      <c r="AJ42" s="9" t="n"/>
      <c r="AK42" s="9" t="n"/>
      <c r="AL42" s="9" t="n"/>
      <c r="AM42" s="9" t="n"/>
    </row>
    <row r="43" ht="18" customHeight="1">
      <c r="A43" s="10" t="n"/>
      <c r="B43" s="10" t="n"/>
      <c r="C43" s="10" t="n"/>
      <c r="D43" s="10" t="n"/>
      <c r="E43" s="10" t="n"/>
      <c r="F43" s="10" t="n"/>
      <c r="G43" s="10" t="n"/>
      <c r="H43" s="10">
        <f>IF(AND(E43&lt;&gt;"",F43&lt;&gt;""),ROUND(E43/F43,1),"")</f>
        <v/>
      </c>
      <c r="I43" s="10" t="n"/>
      <c r="J43" s="10">
        <f>IF(AND(F43&lt;&gt;"",I43&lt;&gt;""),ROUND(F43*I43,0),"")</f>
        <v/>
      </c>
      <c r="K43" s="10">
        <f>IF(I43="","",IF(I43&lt;=4,"Leve",IF(I43&lt;=6,"Moderado",IF(I43&lt;=8,"Intenso","Muito Intenso"))))</f>
        <v/>
      </c>
      <c r="L43" s="10">
        <f>IF(J43="","",IF(J43&gt;800,"CRÍTICO",IF(J43&gt;600,"ATENÇÃO","OK")))</f>
        <v/>
      </c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  <c r="V43" s="10" t="n"/>
      <c r="W43" s="10" t="n"/>
      <c r="X43" s="10" t="n"/>
      <c r="Y43" s="10" t="n"/>
      <c r="Z43" s="10" t="n"/>
      <c r="AA43" s="10" t="n"/>
      <c r="AB43" s="10" t="n"/>
      <c r="AC43" s="10" t="n"/>
      <c r="AD43" s="10" t="n"/>
      <c r="AE43" s="10" t="n"/>
      <c r="AF43" s="10" t="n"/>
      <c r="AG43" s="10" t="n"/>
      <c r="AH43" s="10">
        <f>IF(AND(AC43&lt;&gt;"",AD43&lt;&gt;""),AC43+AD43,"")</f>
        <v/>
      </c>
      <c r="AI43" s="10" t="n"/>
      <c r="AJ43" s="10" t="n"/>
      <c r="AK43" s="10" t="n"/>
      <c r="AL43" s="10" t="n"/>
      <c r="AM43" s="10" t="n"/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>
        <f>IF(AND(E44&lt;&gt;"",F44&lt;&gt;""),ROUND(E44/F44,1),"")</f>
        <v/>
      </c>
      <c r="I44" s="9" t="n"/>
      <c r="J44" s="9">
        <f>IF(AND(F44&lt;&gt;"",I44&lt;&gt;""),ROUND(F44*I44,0),"")</f>
        <v/>
      </c>
      <c r="K44" s="9">
        <f>IF(I44="","",IF(I44&lt;=4,"Leve",IF(I44&lt;=6,"Moderado",IF(I44&lt;=8,"Intenso","Muito Intenso"))))</f>
        <v/>
      </c>
      <c r="L44" s="9">
        <f>IF(J44="","",IF(J44&gt;800,"CRÍTICO",IF(J44&gt;600,"ATENÇÃO","OK")))</f>
        <v/>
      </c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>
        <f>IF(AND(AC44&lt;&gt;"",AD44&lt;&gt;""),AC44+AD44,"")</f>
        <v/>
      </c>
      <c r="AI44" s="9" t="n"/>
      <c r="AJ44" s="9" t="n"/>
      <c r="AK44" s="9" t="n"/>
      <c r="AL44" s="9" t="n"/>
      <c r="AM44" s="9" t="n"/>
    </row>
    <row r="45" ht="18" customHeight="1">
      <c r="A45" s="10" t="n"/>
      <c r="B45" s="10" t="n"/>
      <c r="C45" s="10" t="n"/>
      <c r="D45" s="10" t="n"/>
      <c r="E45" s="10" t="n"/>
      <c r="F45" s="10" t="n"/>
      <c r="G45" s="10" t="n"/>
      <c r="H45" s="10">
        <f>IF(AND(E45&lt;&gt;"",F45&lt;&gt;""),ROUND(E45/F45,1),"")</f>
        <v/>
      </c>
      <c r="I45" s="10" t="n"/>
      <c r="J45" s="10">
        <f>IF(AND(F45&lt;&gt;"",I45&lt;&gt;""),ROUND(F45*I45,0),"")</f>
        <v/>
      </c>
      <c r="K45" s="10">
        <f>IF(I45="","",IF(I45&lt;=4,"Leve",IF(I45&lt;=6,"Moderado",IF(I45&lt;=8,"Intenso","Muito Intenso"))))</f>
        <v/>
      </c>
      <c r="L45" s="10">
        <f>IF(J45="","",IF(J45&gt;800,"CRÍTICO",IF(J45&gt;600,"ATENÇÃO","OK")))</f>
        <v/>
      </c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  <c r="V45" s="10" t="n"/>
      <c r="W45" s="10" t="n"/>
      <c r="X45" s="10" t="n"/>
      <c r="Y45" s="10" t="n"/>
      <c r="Z45" s="10" t="n"/>
      <c r="AA45" s="10" t="n"/>
      <c r="AB45" s="10" t="n"/>
      <c r="AC45" s="10" t="n"/>
      <c r="AD45" s="10" t="n"/>
      <c r="AE45" s="10" t="n"/>
      <c r="AF45" s="10" t="n"/>
      <c r="AG45" s="10" t="n"/>
      <c r="AH45" s="10">
        <f>IF(AND(AC45&lt;&gt;"",AD45&lt;&gt;""),AC45+AD45,"")</f>
        <v/>
      </c>
      <c r="AI45" s="10" t="n"/>
      <c r="AJ45" s="10" t="n"/>
      <c r="AK45" s="10" t="n"/>
      <c r="AL45" s="10" t="n"/>
      <c r="AM45" s="10" t="n"/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>
        <f>IF(AND(E46&lt;&gt;"",F46&lt;&gt;""),ROUND(E46/F46,1),"")</f>
        <v/>
      </c>
      <c r="I46" s="9" t="n"/>
      <c r="J46" s="9">
        <f>IF(AND(F46&lt;&gt;"",I46&lt;&gt;""),ROUND(F46*I46,0),"")</f>
        <v/>
      </c>
      <c r="K46" s="9">
        <f>IF(I46="","",IF(I46&lt;=4,"Leve",IF(I46&lt;=6,"Moderado",IF(I46&lt;=8,"Intenso","Muito Intenso"))))</f>
        <v/>
      </c>
      <c r="L46" s="9">
        <f>IF(J46="","",IF(J46&gt;800,"CRÍTICO",IF(J46&gt;600,"ATENÇÃO","OK")))</f>
        <v/>
      </c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>
        <f>IF(AND(AC46&lt;&gt;"",AD46&lt;&gt;""),AC46+AD46,"")</f>
        <v/>
      </c>
      <c r="AI46" s="9" t="n"/>
      <c r="AJ46" s="9" t="n"/>
      <c r="AK46" s="9" t="n"/>
      <c r="AL46" s="9" t="n"/>
      <c r="AM46" s="9" t="n"/>
    </row>
    <row r="47" ht="18" customHeight="1">
      <c r="A47" s="10" t="n"/>
      <c r="B47" s="10" t="n"/>
      <c r="C47" s="10" t="n"/>
      <c r="D47" s="10" t="n"/>
      <c r="E47" s="10" t="n"/>
      <c r="F47" s="10" t="n"/>
      <c r="G47" s="10" t="n"/>
      <c r="H47" s="10">
        <f>IF(AND(E47&lt;&gt;"",F47&lt;&gt;""),ROUND(E47/F47,1),"")</f>
        <v/>
      </c>
      <c r="I47" s="10" t="n"/>
      <c r="J47" s="10">
        <f>IF(AND(F47&lt;&gt;"",I47&lt;&gt;""),ROUND(F47*I47,0),"")</f>
        <v/>
      </c>
      <c r="K47" s="10">
        <f>IF(I47="","",IF(I47&lt;=4,"Leve",IF(I47&lt;=6,"Moderado",IF(I47&lt;=8,"Intenso","Muito Intenso"))))</f>
        <v/>
      </c>
      <c r="L47" s="10">
        <f>IF(J47="","",IF(J47&gt;800,"CRÍTICO",IF(J47&gt;600,"ATENÇÃO","OK")))</f>
        <v/>
      </c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  <c r="V47" s="10" t="n"/>
      <c r="W47" s="10" t="n"/>
      <c r="X47" s="10" t="n"/>
      <c r="Y47" s="10" t="n"/>
      <c r="Z47" s="10" t="n"/>
      <c r="AA47" s="10" t="n"/>
      <c r="AB47" s="10" t="n"/>
      <c r="AC47" s="10" t="n"/>
      <c r="AD47" s="10" t="n"/>
      <c r="AE47" s="10" t="n"/>
      <c r="AF47" s="10" t="n"/>
      <c r="AG47" s="10" t="n"/>
      <c r="AH47" s="10">
        <f>IF(AND(AC47&lt;&gt;"",AD47&lt;&gt;""),AC47+AD47,"")</f>
        <v/>
      </c>
      <c r="AI47" s="10" t="n"/>
      <c r="AJ47" s="10" t="n"/>
      <c r="AK47" s="10" t="n"/>
      <c r="AL47" s="10" t="n"/>
      <c r="AM47" s="10" t="n"/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>
        <f>IF(AND(E48&lt;&gt;"",F48&lt;&gt;""),ROUND(E48/F48,1),"")</f>
        <v/>
      </c>
      <c r="I48" s="9" t="n"/>
      <c r="J48" s="9">
        <f>IF(AND(F48&lt;&gt;"",I48&lt;&gt;""),ROUND(F48*I48,0),"")</f>
        <v/>
      </c>
      <c r="K48" s="9">
        <f>IF(I48="","",IF(I48&lt;=4,"Leve",IF(I48&lt;=6,"Moderado",IF(I48&lt;=8,"Intenso","Muito Intenso"))))</f>
        <v/>
      </c>
      <c r="L48" s="9">
        <f>IF(J48="","",IF(J48&gt;800,"CRÍTICO",IF(J48&gt;600,"ATENÇÃO","OK")))</f>
        <v/>
      </c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>
        <f>IF(AND(AC48&lt;&gt;"",AD48&lt;&gt;""),AC48+AD48,"")</f>
        <v/>
      </c>
      <c r="AI48" s="9" t="n"/>
      <c r="AJ48" s="9" t="n"/>
      <c r="AK48" s="9" t="n"/>
      <c r="AL48" s="9" t="n"/>
      <c r="AM48" s="9" t="n"/>
    </row>
    <row r="49" ht="18" customHeight="1">
      <c r="A49" s="10" t="n"/>
      <c r="B49" s="10" t="n"/>
      <c r="C49" s="10" t="n"/>
      <c r="D49" s="10" t="n"/>
      <c r="E49" s="10" t="n"/>
      <c r="F49" s="10" t="n"/>
      <c r="G49" s="10" t="n"/>
      <c r="H49" s="10">
        <f>IF(AND(E49&lt;&gt;"",F49&lt;&gt;""),ROUND(E49/F49,1),"")</f>
        <v/>
      </c>
      <c r="I49" s="10" t="n"/>
      <c r="J49" s="10">
        <f>IF(AND(F49&lt;&gt;"",I49&lt;&gt;""),ROUND(F49*I49,0),"")</f>
        <v/>
      </c>
      <c r="K49" s="10">
        <f>IF(I49="","",IF(I49&lt;=4,"Leve",IF(I49&lt;=6,"Moderado",IF(I49&lt;=8,"Intenso","Muito Intenso"))))</f>
        <v/>
      </c>
      <c r="L49" s="10">
        <f>IF(J49="","",IF(J49&gt;800,"CRÍTICO",IF(J49&gt;600,"ATENÇÃO","OK")))</f>
        <v/>
      </c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s="10" t="n"/>
      <c r="W49" s="10" t="n"/>
      <c r="X49" s="10" t="n"/>
      <c r="Y49" s="10" t="n"/>
      <c r="Z49" s="10" t="n"/>
      <c r="AA49" s="10" t="n"/>
      <c r="AB49" s="10" t="n"/>
      <c r="AC49" s="10" t="n"/>
      <c r="AD49" s="10" t="n"/>
      <c r="AE49" s="10" t="n"/>
      <c r="AF49" s="10" t="n"/>
      <c r="AG49" s="10" t="n"/>
      <c r="AH49" s="10">
        <f>IF(AND(AC49&lt;&gt;"",AD49&lt;&gt;""),AC49+AD49,"")</f>
        <v/>
      </c>
      <c r="AI49" s="10" t="n"/>
      <c r="AJ49" s="10" t="n"/>
      <c r="AK49" s="10" t="n"/>
      <c r="AL49" s="10" t="n"/>
      <c r="AM49" s="10" t="n"/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>
        <f>IF(AND(E50&lt;&gt;"",F50&lt;&gt;""),ROUND(E50/F50,1),"")</f>
        <v/>
      </c>
      <c r="I50" s="9" t="n"/>
      <c r="J50" s="9">
        <f>IF(AND(F50&lt;&gt;"",I50&lt;&gt;""),ROUND(F50*I50,0),"")</f>
        <v/>
      </c>
      <c r="K50" s="9">
        <f>IF(I50="","",IF(I50&lt;=4,"Leve",IF(I50&lt;=6,"Moderado",IF(I50&lt;=8,"Intenso","Muito Intenso"))))</f>
        <v/>
      </c>
      <c r="L50" s="9">
        <f>IF(J50="","",IF(J50&gt;800,"CRÍTICO",IF(J50&gt;600,"ATENÇÃO","OK")))</f>
        <v/>
      </c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>
        <f>IF(AND(AC50&lt;&gt;"",AD50&lt;&gt;""),AC50+AD50,"")</f>
        <v/>
      </c>
      <c r="AI50" s="9" t="n"/>
      <c r="AJ50" s="9" t="n"/>
      <c r="AK50" s="9" t="n"/>
      <c r="AL50" s="9" t="n"/>
      <c r="AM50" s="9" t="n"/>
    </row>
    <row r="51" ht="18" customHeight="1">
      <c r="A51" s="10" t="n"/>
      <c r="B51" s="10" t="n"/>
      <c r="C51" s="10" t="n"/>
      <c r="D51" s="10" t="n"/>
      <c r="E51" s="10" t="n"/>
      <c r="F51" s="10" t="n"/>
      <c r="G51" s="10" t="n"/>
      <c r="H51" s="10">
        <f>IF(AND(E51&lt;&gt;"",F51&lt;&gt;""),ROUND(E51/F51,1),"")</f>
        <v/>
      </c>
      <c r="I51" s="10" t="n"/>
      <c r="J51" s="10">
        <f>IF(AND(F51&lt;&gt;"",I51&lt;&gt;""),ROUND(F51*I51,0),"")</f>
        <v/>
      </c>
      <c r="K51" s="10">
        <f>IF(I51="","",IF(I51&lt;=4,"Leve",IF(I51&lt;=6,"Moderado",IF(I51&lt;=8,"Intenso","Muito Intenso"))))</f>
        <v/>
      </c>
      <c r="L51" s="10">
        <f>IF(J51="","",IF(J51&gt;800,"CRÍTICO",IF(J51&gt;600,"ATENÇÃO","OK")))</f>
        <v/>
      </c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s="10" t="n"/>
      <c r="W51" s="10" t="n"/>
      <c r="X51" s="10" t="n"/>
      <c r="Y51" s="10" t="n"/>
      <c r="Z51" s="10" t="n"/>
      <c r="AA51" s="10" t="n"/>
      <c r="AB51" s="10" t="n"/>
      <c r="AC51" s="10" t="n"/>
      <c r="AD51" s="10" t="n"/>
      <c r="AE51" s="10" t="n"/>
      <c r="AF51" s="10" t="n"/>
      <c r="AG51" s="10" t="n"/>
      <c r="AH51" s="10">
        <f>IF(AND(AC51&lt;&gt;"",AD51&lt;&gt;""),AC51+AD51,"")</f>
        <v/>
      </c>
      <c r="AI51" s="10" t="n"/>
      <c r="AJ51" s="10" t="n"/>
      <c r="AK51" s="10" t="n"/>
      <c r="AL51" s="10" t="n"/>
      <c r="AM51" s="10" t="n"/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>
        <f>IF(AND(E52&lt;&gt;"",F52&lt;&gt;""),ROUND(E52/F52,1),"")</f>
        <v/>
      </c>
      <c r="I52" s="9" t="n"/>
      <c r="J52" s="9">
        <f>IF(AND(F52&lt;&gt;"",I52&lt;&gt;""),ROUND(F52*I52,0),"")</f>
        <v/>
      </c>
      <c r="K52" s="9">
        <f>IF(I52="","",IF(I52&lt;=4,"Leve",IF(I52&lt;=6,"Moderado",IF(I52&lt;=8,"Intenso","Muito Intenso"))))</f>
        <v/>
      </c>
      <c r="L52" s="9">
        <f>IF(J52="","",IF(J52&gt;800,"CRÍTICO",IF(J52&gt;600,"ATENÇÃO","OK")))</f>
        <v/>
      </c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>
        <f>IF(AND(AC52&lt;&gt;"",AD52&lt;&gt;""),AC52+AD52,"")</f>
        <v/>
      </c>
      <c r="AI52" s="9" t="n"/>
      <c r="AJ52" s="9" t="n"/>
      <c r="AK52" s="9" t="n"/>
      <c r="AL52" s="9" t="n"/>
      <c r="AM52" s="9" t="n"/>
    </row>
    <row r="53" ht="18" customHeight="1">
      <c r="A53" s="10" t="n"/>
      <c r="B53" s="10" t="n"/>
      <c r="C53" s="10" t="n"/>
      <c r="D53" s="10" t="n"/>
      <c r="E53" s="10" t="n"/>
      <c r="F53" s="10" t="n"/>
      <c r="G53" s="10" t="n"/>
      <c r="H53" s="10">
        <f>IF(AND(E53&lt;&gt;"",F53&lt;&gt;""),ROUND(E53/F53,1),"")</f>
        <v/>
      </c>
      <c r="I53" s="10" t="n"/>
      <c r="J53" s="10">
        <f>IF(AND(F53&lt;&gt;"",I53&lt;&gt;""),ROUND(F53*I53,0),"")</f>
        <v/>
      </c>
      <c r="K53" s="10">
        <f>IF(I53="","",IF(I53&lt;=4,"Leve",IF(I53&lt;=6,"Moderado",IF(I53&lt;=8,"Intenso","Muito Intenso"))))</f>
        <v/>
      </c>
      <c r="L53" s="10">
        <f>IF(J53="","",IF(J53&gt;800,"CRÍTICO",IF(J53&gt;600,"ATENÇÃO","OK")))</f>
        <v/>
      </c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s="10" t="n"/>
      <c r="W53" s="10" t="n"/>
      <c r="X53" s="10" t="n"/>
      <c r="Y53" s="10" t="n"/>
      <c r="Z53" s="10" t="n"/>
      <c r="AA53" s="10" t="n"/>
      <c r="AB53" s="10" t="n"/>
      <c r="AC53" s="10" t="n"/>
      <c r="AD53" s="10" t="n"/>
      <c r="AE53" s="10" t="n"/>
      <c r="AF53" s="10" t="n"/>
      <c r="AG53" s="10" t="n"/>
      <c r="AH53" s="10">
        <f>IF(AND(AC53&lt;&gt;"",AD53&lt;&gt;""),AC53+AD53,"")</f>
        <v/>
      </c>
      <c r="AI53" s="10" t="n"/>
      <c r="AJ53" s="10" t="n"/>
      <c r="AK53" s="10" t="n"/>
      <c r="AL53" s="10" t="n"/>
      <c r="AM53" s="10" t="n"/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>
        <f>IF(AND(E54&lt;&gt;"",F54&lt;&gt;""),ROUND(E54/F54,1),"")</f>
        <v/>
      </c>
      <c r="I54" s="9" t="n"/>
      <c r="J54" s="9">
        <f>IF(AND(F54&lt;&gt;"",I54&lt;&gt;""),ROUND(F54*I54,0),"")</f>
        <v/>
      </c>
      <c r="K54" s="9">
        <f>IF(I54="","",IF(I54&lt;=4,"Leve",IF(I54&lt;=6,"Moderado",IF(I54&lt;=8,"Intenso","Muito Intenso"))))</f>
        <v/>
      </c>
      <c r="L54" s="9">
        <f>IF(J54="","",IF(J54&gt;800,"CRÍTICO",IF(J54&gt;600,"ATENÇÃO","OK")))</f>
        <v/>
      </c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>
        <f>IF(AND(AC54&lt;&gt;"",AD54&lt;&gt;""),AC54+AD54,"")</f>
        <v/>
      </c>
      <c r="AI54" s="9" t="n"/>
      <c r="AJ54" s="9" t="n"/>
      <c r="AK54" s="9" t="n"/>
      <c r="AL54" s="9" t="n"/>
      <c r="AM54" s="9" t="n"/>
    </row>
    <row r="55" ht="18" customHeight="1">
      <c r="A55" s="10" t="n"/>
      <c r="B55" s="10" t="n"/>
      <c r="C55" s="10" t="n"/>
      <c r="D55" s="10" t="n"/>
      <c r="E55" s="10" t="n"/>
      <c r="F55" s="10" t="n"/>
      <c r="G55" s="10" t="n"/>
      <c r="H55" s="10">
        <f>IF(AND(E55&lt;&gt;"",F55&lt;&gt;""),ROUND(E55/F55,1),"")</f>
        <v/>
      </c>
      <c r="I55" s="10" t="n"/>
      <c r="J55" s="10">
        <f>IF(AND(F55&lt;&gt;"",I55&lt;&gt;""),ROUND(F55*I55,0),"")</f>
        <v/>
      </c>
      <c r="K55" s="10">
        <f>IF(I55="","",IF(I55&lt;=4,"Leve",IF(I55&lt;=6,"Moderado",IF(I55&lt;=8,"Intenso","Muito Intenso"))))</f>
        <v/>
      </c>
      <c r="L55" s="10">
        <f>IF(J55="","",IF(J55&gt;800,"CRÍTICO",IF(J55&gt;600,"ATENÇÃO","OK")))</f>
        <v/>
      </c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s="10" t="n"/>
      <c r="W55" s="10" t="n"/>
      <c r="X55" s="10" t="n"/>
      <c r="Y55" s="10" t="n"/>
      <c r="Z55" s="10" t="n"/>
      <c r="AA55" s="10" t="n"/>
      <c r="AB55" s="10" t="n"/>
      <c r="AC55" s="10" t="n"/>
      <c r="AD55" s="10" t="n"/>
      <c r="AE55" s="10" t="n"/>
      <c r="AF55" s="10" t="n"/>
      <c r="AG55" s="10" t="n"/>
      <c r="AH55" s="10">
        <f>IF(AND(AC55&lt;&gt;"",AD55&lt;&gt;""),AC55+AD55,"")</f>
        <v/>
      </c>
      <c r="AI55" s="10" t="n"/>
      <c r="AJ55" s="10" t="n"/>
      <c r="AK55" s="10" t="n"/>
      <c r="AL55" s="10" t="n"/>
      <c r="AM55" s="10" t="n"/>
    </row>
    <row r="56" ht="18" customHeight="1">
      <c r="A56" s="9" t="n"/>
      <c r="B56" s="9" t="n"/>
      <c r="C56" s="9" t="n"/>
      <c r="D56" s="9" t="n"/>
      <c r="E56" s="9" t="n"/>
      <c r="F56" s="9" t="n"/>
      <c r="G56" s="9" t="n"/>
      <c r="H56" s="9">
        <f>IF(AND(E56&lt;&gt;"",F56&lt;&gt;""),ROUND(E56/F56,1),"")</f>
        <v/>
      </c>
      <c r="I56" s="9" t="n"/>
      <c r="J56" s="9">
        <f>IF(AND(F56&lt;&gt;"",I56&lt;&gt;""),ROUND(F56*I56,0),"")</f>
        <v/>
      </c>
      <c r="K56" s="9">
        <f>IF(I56="","",IF(I56&lt;=4,"Leve",IF(I56&lt;=6,"Moderado",IF(I56&lt;=8,"Intenso","Muito Intenso"))))</f>
        <v/>
      </c>
      <c r="L56" s="9">
        <f>IF(J56="","",IF(J56&gt;800,"CRÍTICO",IF(J56&gt;600,"ATENÇÃO","OK")))</f>
        <v/>
      </c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>
        <f>IF(AND(AC56&lt;&gt;"",AD56&lt;&gt;""),AC56+AD56,"")</f>
        <v/>
      </c>
      <c r="AI56" s="9" t="n"/>
      <c r="AJ56" s="9" t="n"/>
      <c r="AK56" s="9" t="n"/>
      <c r="AL56" s="9" t="n"/>
      <c r="AM56" s="9" t="n"/>
    </row>
    <row r="57" ht="18" customHeight="1">
      <c r="A57" s="10" t="n"/>
      <c r="B57" s="10" t="n"/>
      <c r="C57" s="10" t="n"/>
      <c r="D57" s="10" t="n"/>
      <c r="E57" s="10" t="n"/>
      <c r="F57" s="10" t="n"/>
      <c r="G57" s="10" t="n"/>
      <c r="H57" s="10">
        <f>IF(AND(E57&lt;&gt;"",F57&lt;&gt;""),ROUND(E57/F57,1),"")</f>
        <v/>
      </c>
      <c r="I57" s="10" t="n"/>
      <c r="J57" s="10">
        <f>IF(AND(F57&lt;&gt;"",I57&lt;&gt;""),ROUND(F57*I57,0),"")</f>
        <v/>
      </c>
      <c r="K57" s="10">
        <f>IF(I57="","",IF(I57&lt;=4,"Leve",IF(I57&lt;=6,"Moderado",IF(I57&lt;=8,"Intenso","Muito Intenso"))))</f>
        <v/>
      </c>
      <c r="L57" s="10">
        <f>IF(J57="","",IF(J57&gt;800,"CRÍTICO",IF(J57&gt;600,"ATENÇÃO","OK")))</f>
        <v/>
      </c>
      <c r="M57" s="10" t="n"/>
      <c r="N57" s="10" t="n"/>
      <c r="O57" s="10" t="n"/>
      <c r="P57" s="10" t="n"/>
      <c r="Q57" s="10" t="n"/>
      <c r="R57" s="10" t="n"/>
      <c r="S57" s="10" t="n"/>
      <c r="T57" s="10" t="n"/>
      <c r="U57" s="10" t="n"/>
      <c r="V57" s="10" t="n"/>
      <c r="W57" s="10" t="n"/>
      <c r="X57" s="10" t="n"/>
      <c r="Y57" s="10" t="n"/>
      <c r="Z57" s="10" t="n"/>
      <c r="AA57" s="10" t="n"/>
      <c r="AB57" s="10" t="n"/>
      <c r="AC57" s="10" t="n"/>
      <c r="AD57" s="10" t="n"/>
      <c r="AE57" s="10" t="n"/>
      <c r="AF57" s="10" t="n"/>
      <c r="AG57" s="10" t="n"/>
      <c r="AH57" s="10">
        <f>IF(AND(AC57&lt;&gt;"",AD57&lt;&gt;""),AC57+AD57,"")</f>
        <v/>
      </c>
      <c r="AI57" s="10" t="n"/>
      <c r="AJ57" s="10" t="n"/>
      <c r="AK57" s="10" t="n"/>
      <c r="AL57" s="10" t="n"/>
      <c r="AM57" s="10" t="n"/>
    </row>
    <row r="58" ht="18" customHeight="1">
      <c r="A58" s="9" t="n"/>
      <c r="B58" s="9" t="n"/>
      <c r="C58" s="9" t="n"/>
      <c r="D58" s="9" t="n"/>
      <c r="E58" s="9" t="n"/>
      <c r="F58" s="9" t="n"/>
      <c r="G58" s="9" t="n"/>
      <c r="H58" s="9">
        <f>IF(AND(E58&lt;&gt;"",F58&lt;&gt;""),ROUND(E58/F58,1),"")</f>
        <v/>
      </c>
      <c r="I58" s="9" t="n"/>
      <c r="J58" s="9">
        <f>IF(AND(F58&lt;&gt;"",I58&lt;&gt;""),ROUND(F58*I58,0),"")</f>
        <v/>
      </c>
      <c r="K58" s="9">
        <f>IF(I58="","",IF(I58&lt;=4,"Leve",IF(I58&lt;=6,"Moderado",IF(I58&lt;=8,"Intenso","Muito Intenso"))))</f>
        <v/>
      </c>
      <c r="L58" s="9">
        <f>IF(J58="","",IF(J58&gt;800,"CRÍTICO",IF(J58&gt;600,"ATENÇÃO","OK")))</f>
        <v/>
      </c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>
        <f>IF(AND(AC58&lt;&gt;"",AD58&lt;&gt;""),AC58+AD58,"")</f>
        <v/>
      </c>
      <c r="AI58" s="9" t="n"/>
      <c r="AJ58" s="9" t="n"/>
      <c r="AK58" s="9" t="n"/>
      <c r="AL58" s="9" t="n"/>
      <c r="AM58" s="9" t="n"/>
    </row>
    <row r="59" ht="18" customHeight="1">
      <c r="A59" s="10" t="n"/>
      <c r="B59" s="10" t="n"/>
      <c r="C59" s="10" t="n"/>
      <c r="D59" s="10" t="n"/>
      <c r="E59" s="10" t="n"/>
      <c r="F59" s="10" t="n"/>
      <c r="G59" s="10" t="n"/>
      <c r="H59" s="10">
        <f>IF(AND(E59&lt;&gt;"",F59&lt;&gt;""),ROUND(E59/F59,1),"")</f>
        <v/>
      </c>
      <c r="I59" s="10" t="n"/>
      <c r="J59" s="10">
        <f>IF(AND(F59&lt;&gt;"",I59&lt;&gt;""),ROUND(F59*I59,0),"")</f>
        <v/>
      </c>
      <c r="K59" s="10">
        <f>IF(I59="","",IF(I59&lt;=4,"Leve",IF(I59&lt;=6,"Moderado",IF(I59&lt;=8,"Intenso","Muito Intenso"))))</f>
        <v/>
      </c>
      <c r="L59" s="10">
        <f>IF(J59="","",IF(J59&gt;800,"CRÍTICO",IF(J59&gt;600,"ATENÇÃO","OK")))</f>
        <v/>
      </c>
      <c r="M59" s="10" t="n"/>
      <c r="N59" s="10" t="n"/>
      <c r="O59" s="10" t="n"/>
      <c r="P59" s="10" t="n"/>
      <c r="Q59" s="10" t="n"/>
      <c r="R59" s="10" t="n"/>
      <c r="S59" s="10" t="n"/>
      <c r="T59" s="10" t="n"/>
      <c r="U59" s="10" t="n"/>
      <c r="V59" s="10" t="n"/>
      <c r="W59" s="10" t="n"/>
      <c r="X59" s="10" t="n"/>
      <c r="Y59" s="10" t="n"/>
      <c r="Z59" s="10" t="n"/>
      <c r="AA59" s="10" t="n"/>
      <c r="AB59" s="10" t="n"/>
      <c r="AC59" s="10" t="n"/>
      <c r="AD59" s="10" t="n"/>
      <c r="AE59" s="10" t="n"/>
      <c r="AF59" s="10" t="n"/>
      <c r="AG59" s="10" t="n"/>
      <c r="AH59" s="10">
        <f>IF(AND(AC59&lt;&gt;"",AD59&lt;&gt;""),AC59+AD59,"")</f>
        <v/>
      </c>
      <c r="AI59" s="10" t="n"/>
      <c r="AJ59" s="10" t="n"/>
      <c r="AK59" s="10" t="n"/>
      <c r="AL59" s="10" t="n"/>
      <c r="AM59" s="10" t="n"/>
    </row>
    <row r="60" ht="18" customHeight="1">
      <c r="A60" s="9" t="n"/>
      <c r="B60" s="9" t="n"/>
      <c r="C60" s="9" t="n"/>
      <c r="D60" s="9" t="n"/>
      <c r="E60" s="9" t="n"/>
      <c r="F60" s="9" t="n"/>
      <c r="G60" s="9" t="n"/>
      <c r="H60" s="9">
        <f>IF(AND(E60&lt;&gt;"",F60&lt;&gt;""),ROUND(E60/F60,1),"")</f>
        <v/>
      </c>
      <c r="I60" s="9" t="n"/>
      <c r="J60" s="9">
        <f>IF(AND(F60&lt;&gt;"",I60&lt;&gt;""),ROUND(F60*I60,0),"")</f>
        <v/>
      </c>
      <c r="K60" s="9">
        <f>IF(I60="","",IF(I60&lt;=4,"Leve",IF(I60&lt;=6,"Moderado",IF(I60&lt;=8,"Intenso","Muito Intenso"))))</f>
        <v/>
      </c>
      <c r="L60" s="9">
        <f>IF(J60="","",IF(J60&gt;800,"CRÍTICO",IF(J60&gt;600,"ATENÇÃO","OK")))</f>
        <v/>
      </c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>
        <f>IF(AND(AC60&lt;&gt;"",AD60&lt;&gt;""),AC60+AD60,"")</f>
        <v/>
      </c>
      <c r="AI60" s="9" t="n"/>
      <c r="AJ60" s="9" t="n"/>
      <c r="AK60" s="9" t="n"/>
      <c r="AL60" s="9" t="n"/>
      <c r="AM60" s="9" t="n"/>
    </row>
    <row r="61" ht="18" customHeight="1">
      <c r="A61" s="10" t="n"/>
      <c r="B61" s="10" t="n"/>
      <c r="C61" s="10" t="n"/>
      <c r="D61" s="10" t="n"/>
      <c r="E61" s="10" t="n"/>
      <c r="F61" s="10" t="n"/>
      <c r="G61" s="10" t="n"/>
      <c r="H61" s="10">
        <f>IF(AND(E61&lt;&gt;"",F61&lt;&gt;""),ROUND(E61/F61,1),"")</f>
        <v/>
      </c>
      <c r="I61" s="10" t="n"/>
      <c r="J61" s="10">
        <f>IF(AND(F61&lt;&gt;"",I61&lt;&gt;""),ROUND(F61*I61,0),"")</f>
        <v/>
      </c>
      <c r="K61" s="10">
        <f>IF(I61="","",IF(I61&lt;=4,"Leve",IF(I61&lt;=6,"Moderado",IF(I61&lt;=8,"Intenso","Muito Intenso"))))</f>
        <v/>
      </c>
      <c r="L61" s="10">
        <f>IF(J61="","",IF(J61&gt;800,"CRÍTICO",IF(J61&gt;600,"ATENÇÃO","OK")))</f>
        <v/>
      </c>
      <c r="M61" s="10" t="n"/>
      <c r="N61" s="10" t="n"/>
      <c r="O61" s="10" t="n"/>
      <c r="P61" s="10" t="n"/>
      <c r="Q61" s="10" t="n"/>
      <c r="R61" s="10" t="n"/>
      <c r="S61" s="10" t="n"/>
      <c r="T61" s="10" t="n"/>
      <c r="U61" s="10" t="n"/>
      <c r="V61" s="10" t="n"/>
      <c r="W61" s="10" t="n"/>
      <c r="X61" s="10" t="n"/>
      <c r="Y61" s="10" t="n"/>
      <c r="Z61" s="10" t="n"/>
      <c r="AA61" s="10" t="n"/>
      <c r="AB61" s="10" t="n"/>
      <c r="AC61" s="10" t="n"/>
      <c r="AD61" s="10" t="n"/>
      <c r="AE61" s="10" t="n"/>
      <c r="AF61" s="10" t="n"/>
      <c r="AG61" s="10" t="n"/>
      <c r="AH61" s="10">
        <f>IF(AND(AC61&lt;&gt;"",AD61&lt;&gt;""),AC61+AD61,"")</f>
        <v/>
      </c>
      <c r="AI61" s="10" t="n"/>
      <c r="AJ61" s="10" t="n"/>
      <c r="AK61" s="10" t="n"/>
      <c r="AL61" s="10" t="n"/>
      <c r="AM61" s="10" t="n"/>
    </row>
    <row r="62" ht="18" customHeight="1">
      <c r="A62" s="9" t="n"/>
      <c r="B62" s="9" t="n"/>
      <c r="C62" s="9" t="n"/>
      <c r="D62" s="9" t="n"/>
      <c r="E62" s="9" t="n"/>
      <c r="F62" s="9" t="n"/>
      <c r="G62" s="9" t="n"/>
      <c r="H62" s="9">
        <f>IF(AND(E62&lt;&gt;"",F62&lt;&gt;""),ROUND(E62/F62,1),"")</f>
        <v/>
      </c>
      <c r="I62" s="9" t="n"/>
      <c r="J62" s="9">
        <f>IF(AND(F62&lt;&gt;"",I62&lt;&gt;""),ROUND(F62*I62,0),"")</f>
        <v/>
      </c>
      <c r="K62" s="9">
        <f>IF(I62="","",IF(I62&lt;=4,"Leve",IF(I62&lt;=6,"Moderado",IF(I62&lt;=8,"Intenso","Muito Intenso"))))</f>
        <v/>
      </c>
      <c r="L62" s="9">
        <f>IF(J62="","",IF(J62&gt;800,"CRÍTICO",IF(J62&gt;600,"ATENÇÃO","OK")))</f>
        <v/>
      </c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>
        <f>IF(AND(AC62&lt;&gt;"",AD62&lt;&gt;""),AC62+AD62,"")</f>
        <v/>
      </c>
      <c r="AI62" s="9" t="n"/>
      <c r="AJ62" s="9" t="n"/>
      <c r="AK62" s="9" t="n"/>
      <c r="AL62" s="9" t="n"/>
      <c r="AM62" s="9" t="n"/>
    </row>
    <row r="63" ht="18" customHeight="1">
      <c r="A63" s="10" t="n"/>
      <c r="B63" s="10" t="n"/>
      <c r="C63" s="10" t="n"/>
      <c r="D63" s="10" t="n"/>
      <c r="E63" s="10" t="n"/>
      <c r="F63" s="10" t="n"/>
      <c r="G63" s="10" t="n"/>
      <c r="H63" s="10">
        <f>IF(AND(E63&lt;&gt;"",F63&lt;&gt;""),ROUND(E63/F63,1),"")</f>
        <v/>
      </c>
      <c r="I63" s="10" t="n"/>
      <c r="J63" s="10">
        <f>IF(AND(F63&lt;&gt;"",I63&lt;&gt;""),ROUND(F63*I63,0),"")</f>
        <v/>
      </c>
      <c r="K63" s="10">
        <f>IF(I63="","",IF(I63&lt;=4,"Leve",IF(I63&lt;=6,"Moderado",IF(I63&lt;=8,"Intenso","Muito Intenso"))))</f>
        <v/>
      </c>
      <c r="L63" s="10">
        <f>IF(J63="","",IF(J63&gt;800,"CRÍTICO",IF(J63&gt;600,"ATENÇÃO","OK")))</f>
        <v/>
      </c>
      <c r="M63" s="10" t="n"/>
      <c r="N63" s="10" t="n"/>
      <c r="O63" s="10" t="n"/>
      <c r="P63" s="10" t="n"/>
      <c r="Q63" s="10" t="n"/>
      <c r="R63" s="10" t="n"/>
      <c r="S63" s="10" t="n"/>
      <c r="T63" s="10" t="n"/>
      <c r="U63" s="10" t="n"/>
      <c r="V63" s="10" t="n"/>
      <c r="W63" s="10" t="n"/>
      <c r="X63" s="10" t="n"/>
      <c r="Y63" s="10" t="n"/>
      <c r="Z63" s="10" t="n"/>
      <c r="AA63" s="10" t="n"/>
      <c r="AB63" s="10" t="n"/>
      <c r="AC63" s="10" t="n"/>
      <c r="AD63" s="10" t="n"/>
      <c r="AE63" s="10" t="n"/>
      <c r="AF63" s="10" t="n"/>
      <c r="AG63" s="10" t="n"/>
      <c r="AH63" s="10">
        <f>IF(AND(AC63&lt;&gt;"",AD63&lt;&gt;""),AC63+AD63,"")</f>
        <v/>
      </c>
      <c r="AI63" s="10" t="n"/>
      <c r="AJ63" s="10" t="n"/>
      <c r="AK63" s="10" t="n"/>
      <c r="AL63" s="10" t="n"/>
      <c r="AM63" s="10" t="n"/>
    </row>
    <row r="64" ht="18" customHeight="1">
      <c r="A64" s="9" t="n"/>
      <c r="B64" s="9" t="n"/>
      <c r="C64" s="9" t="n"/>
      <c r="D64" s="9" t="n"/>
      <c r="E64" s="9" t="n"/>
      <c r="F64" s="9" t="n"/>
      <c r="G64" s="9" t="n"/>
      <c r="H64" s="9">
        <f>IF(AND(E64&lt;&gt;"",F64&lt;&gt;""),ROUND(E64/F64,1),"")</f>
        <v/>
      </c>
      <c r="I64" s="9" t="n"/>
      <c r="J64" s="9">
        <f>IF(AND(F64&lt;&gt;"",I64&lt;&gt;""),ROUND(F64*I64,0),"")</f>
        <v/>
      </c>
      <c r="K64" s="9">
        <f>IF(I64="","",IF(I64&lt;=4,"Leve",IF(I64&lt;=6,"Moderado",IF(I64&lt;=8,"Intenso","Muito Intenso"))))</f>
        <v/>
      </c>
      <c r="L64" s="9">
        <f>IF(J64="","",IF(J64&gt;800,"CRÍTICO",IF(J64&gt;600,"ATENÇÃO","OK")))</f>
        <v/>
      </c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>
        <f>IF(AND(AC64&lt;&gt;"",AD64&lt;&gt;""),AC64+AD64,"")</f>
        <v/>
      </c>
      <c r="AI64" s="9" t="n"/>
      <c r="AJ64" s="9" t="n"/>
      <c r="AK64" s="9" t="n"/>
      <c r="AL64" s="9" t="n"/>
      <c r="AM64" s="9" t="n"/>
    </row>
    <row r="65" ht="18" customHeight="1">
      <c r="A65" s="10" t="n"/>
      <c r="B65" s="10" t="n"/>
      <c r="C65" s="10" t="n"/>
      <c r="D65" s="10" t="n"/>
      <c r="E65" s="10" t="n"/>
      <c r="F65" s="10" t="n"/>
      <c r="G65" s="10" t="n"/>
      <c r="H65" s="10">
        <f>IF(AND(E65&lt;&gt;"",F65&lt;&gt;""),ROUND(E65/F65,1),"")</f>
        <v/>
      </c>
      <c r="I65" s="10" t="n"/>
      <c r="J65" s="10">
        <f>IF(AND(F65&lt;&gt;"",I65&lt;&gt;""),ROUND(F65*I65,0),"")</f>
        <v/>
      </c>
      <c r="K65" s="10">
        <f>IF(I65="","",IF(I65&lt;=4,"Leve",IF(I65&lt;=6,"Moderado",IF(I65&lt;=8,"Intenso","Muito Intenso"))))</f>
        <v/>
      </c>
      <c r="L65" s="10">
        <f>IF(J65="","",IF(J65&gt;800,"CRÍTICO",IF(J65&gt;600,"ATENÇÃO","OK")))</f>
        <v/>
      </c>
      <c r="M65" s="10" t="n"/>
      <c r="N65" s="10" t="n"/>
      <c r="O65" s="10" t="n"/>
      <c r="P65" s="10" t="n"/>
      <c r="Q65" s="10" t="n"/>
      <c r="R65" s="10" t="n"/>
      <c r="S65" s="10" t="n"/>
      <c r="T65" s="10" t="n"/>
      <c r="U65" s="10" t="n"/>
      <c r="V65" s="10" t="n"/>
      <c r="W65" s="10" t="n"/>
      <c r="X65" s="10" t="n"/>
      <c r="Y65" s="10" t="n"/>
      <c r="Z65" s="10" t="n"/>
      <c r="AA65" s="10" t="n"/>
      <c r="AB65" s="10" t="n"/>
      <c r="AC65" s="10" t="n"/>
      <c r="AD65" s="10" t="n"/>
      <c r="AE65" s="10" t="n"/>
      <c r="AF65" s="10" t="n"/>
      <c r="AG65" s="10" t="n"/>
      <c r="AH65" s="10">
        <f>IF(AND(AC65&lt;&gt;"",AD65&lt;&gt;""),AC65+AD65,"")</f>
        <v/>
      </c>
      <c r="AI65" s="10" t="n"/>
      <c r="AJ65" s="10" t="n"/>
      <c r="AK65" s="10" t="n"/>
      <c r="AL65" s="10" t="n"/>
      <c r="AM65" s="10" t="n"/>
    </row>
    <row r="66" ht="18" customHeight="1">
      <c r="A66" s="9" t="n"/>
      <c r="B66" s="9" t="n"/>
      <c r="C66" s="9" t="n"/>
      <c r="D66" s="9" t="n"/>
      <c r="E66" s="9" t="n"/>
      <c r="F66" s="9" t="n"/>
      <c r="G66" s="9" t="n"/>
      <c r="H66" s="9">
        <f>IF(AND(E66&lt;&gt;"",F66&lt;&gt;""),ROUND(E66/F66,1),"")</f>
        <v/>
      </c>
      <c r="I66" s="9" t="n"/>
      <c r="J66" s="9">
        <f>IF(AND(F66&lt;&gt;"",I66&lt;&gt;""),ROUND(F66*I66,0),"")</f>
        <v/>
      </c>
      <c r="K66" s="9">
        <f>IF(I66="","",IF(I66&lt;=4,"Leve",IF(I66&lt;=6,"Moderado",IF(I66&lt;=8,"Intenso","Muito Intenso"))))</f>
        <v/>
      </c>
      <c r="L66" s="9">
        <f>IF(J66="","",IF(J66&gt;800,"CRÍTICO",IF(J66&gt;600,"ATENÇÃO","OK")))</f>
        <v/>
      </c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>
        <f>IF(AND(AC66&lt;&gt;"",AD66&lt;&gt;""),AC66+AD66,"")</f>
        <v/>
      </c>
      <c r="AI66" s="9" t="n"/>
      <c r="AJ66" s="9" t="n"/>
      <c r="AK66" s="9" t="n"/>
      <c r="AL66" s="9" t="n"/>
      <c r="AM66" s="9" t="n"/>
    </row>
    <row r="67" ht="18" customHeight="1">
      <c r="A67" s="10" t="n"/>
      <c r="B67" s="10" t="n"/>
      <c r="C67" s="10" t="n"/>
      <c r="D67" s="10" t="n"/>
      <c r="E67" s="10" t="n"/>
      <c r="F67" s="10" t="n"/>
      <c r="G67" s="10" t="n"/>
      <c r="H67" s="10">
        <f>IF(AND(E67&lt;&gt;"",F67&lt;&gt;""),ROUND(E67/F67,1),"")</f>
        <v/>
      </c>
      <c r="I67" s="10" t="n"/>
      <c r="J67" s="10">
        <f>IF(AND(F67&lt;&gt;"",I67&lt;&gt;""),ROUND(F67*I67,0),"")</f>
        <v/>
      </c>
      <c r="K67" s="10">
        <f>IF(I67="","",IF(I67&lt;=4,"Leve",IF(I67&lt;=6,"Moderado",IF(I67&lt;=8,"Intenso","Muito Intenso"))))</f>
        <v/>
      </c>
      <c r="L67" s="10">
        <f>IF(J67="","",IF(J67&gt;800,"CRÍTICO",IF(J67&gt;600,"ATENÇÃO","OK")))</f>
        <v/>
      </c>
      <c r="M67" s="10" t="n"/>
      <c r="N67" s="10" t="n"/>
      <c r="O67" s="10" t="n"/>
      <c r="P67" s="10" t="n"/>
      <c r="Q67" s="10" t="n"/>
      <c r="R67" s="10" t="n"/>
      <c r="S67" s="10" t="n"/>
      <c r="T67" s="10" t="n"/>
      <c r="U67" s="10" t="n"/>
      <c r="V67" s="10" t="n"/>
      <c r="W67" s="10" t="n"/>
      <c r="X67" s="10" t="n"/>
      <c r="Y67" s="10" t="n"/>
      <c r="Z67" s="10" t="n"/>
      <c r="AA67" s="10" t="n"/>
      <c r="AB67" s="10" t="n"/>
      <c r="AC67" s="10" t="n"/>
      <c r="AD67" s="10" t="n"/>
      <c r="AE67" s="10" t="n"/>
      <c r="AF67" s="10" t="n"/>
      <c r="AG67" s="10" t="n"/>
      <c r="AH67" s="10">
        <f>IF(AND(AC67&lt;&gt;"",AD67&lt;&gt;""),AC67+AD67,"")</f>
        <v/>
      </c>
      <c r="AI67" s="10" t="n"/>
      <c r="AJ67" s="10" t="n"/>
      <c r="AK67" s="10" t="n"/>
      <c r="AL67" s="10" t="n"/>
      <c r="AM67" s="10" t="n"/>
    </row>
    <row r="68" ht="18" customHeight="1">
      <c r="A68" s="9" t="n"/>
      <c r="B68" s="9" t="n"/>
      <c r="C68" s="9" t="n"/>
      <c r="D68" s="9" t="n"/>
      <c r="E68" s="9" t="n"/>
      <c r="F68" s="9" t="n"/>
      <c r="G68" s="9" t="n"/>
      <c r="H68" s="9">
        <f>IF(AND(E68&lt;&gt;"",F68&lt;&gt;""),ROUND(E68/F68,1),"")</f>
        <v/>
      </c>
      <c r="I68" s="9" t="n"/>
      <c r="J68" s="9">
        <f>IF(AND(F68&lt;&gt;"",I68&lt;&gt;""),ROUND(F68*I68,0),"")</f>
        <v/>
      </c>
      <c r="K68" s="9">
        <f>IF(I68="","",IF(I68&lt;=4,"Leve",IF(I68&lt;=6,"Moderado",IF(I68&lt;=8,"Intenso","Muito Intenso"))))</f>
        <v/>
      </c>
      <c r="L68" s="9">
        <f>IF(J68="","",IF(J68&gt;800,"CRÍTICO",IF(J68&gt;600,"ATENÇÃO","OK")))</f>
        <v/>
      </c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>
        <f>IF(AND(AC68&lt;&gt;"",AD68&lt;&gt;""),AC68+AD68,"")</f>
        <v/>
      </c>
      <c r="AI68" s="9" t="n"/>
      <c r="AJ68" s="9" t="n"/>
      <c r="AK68" s="9" t="n"/>
      <c r="AL68" s="9" t="n"/>
      <c r="AM68" s="9" t="n"/>
    </row>
    <row r="69" ht="18" customHeight="1">
      <c r="A69" s="10" t="n"/>
      <c r="B69" s="10" t="n"/>
      <c r="C69" s="10" t="n"/>
      <c r="D69" s="10" t="n"/>
      <c r="E69" s="10" t="n"/>
      <c r="F69" s="10" t="n"/>
      <c r="G69" s="10" t="n"/>
      <c r="H69" s="10">
        <f>IF(AND(E69&lt;&gt;"",F69&lt;&gt;""),ROUND(E69/F69,1),"")</f>
        <v/>
      </c>
      <c r="I69" s="10" t="n"/>
      <c r="J69" s="10">
        <f>IF(AND(F69&lt;&gt;"",I69&lt;&gt;""),ROUND(F69*I69,0),"")</f>
        <v/>
      </c>
      <c r="K69" s="10">
        <f>IF(I69="","",IF(I69&lt;=4,"Leve",IF(I69&lt;=6,"Moderado",IF(I69&lt;=8,"Intenso","Muito Intenso"))))</f>
        <v/>
      </c>
      <c r="L69" s="10">
        <f>IF(J69="","",IF(J69&gt;800,"CRÍTICO",IF(J69&gt;600,"ATENÇÃO","OK")))</f>
        <v/>
      </c>
      <c r="M69" s="10" t="n"/>
      <c r="N69" s="10" t="n"/>
      <c r="O69" s="10" t="n"/>
      <c r="P69" s="10" t="n"/>
      <c r="Q69" s="10" t="n"/>
      <c r="R69" s="10" t="n"/>
      <c r="S69" s="10" t="n"/>
      <c r="T69" s="10" t="n"/>
      <c r="U69" s="10" t="n"/>
      <c r="V69" s="10" t="n"/>
      <c r="W69" s="10" t="n"/>
      <c r="X69" s="10" t="n"/>
      <c r="Y69" s="10" t="n"/>
      <c r="Z69" s="10" t="n"/>
      <c r="AA69" s="10" t="n"/>
      <c r="AB69" s="10" t="n"/>
      <c r="AC69" s="10" t="n"/>
      <c r="AD69" s="10" t="n"/>
      <c r="AE69" s="10" t="n"/>
      <c r="AF69" s="10" t="n"/>
      <c r="AG69" s="10" t="n"/>
      <c r="AH69" s="10">
        <f>IF(AND(AC69&lt;&gt;"",AD69&lt;&gt;""),AC69+AD69,"")</f>
        <v/>
      </c>
      <c r="AI69" s="10" t="n"/>
      <c r="AJ69" s="10" t="n"/>
      <c r="AK69" s="10" t="n"/>
      <c r="AL69" s="10" t="n"/>
      <c r="AM69" s="10" t="n"/>
    </row>
    <row r="70" ht="18" customHeight="1">
      <c r="A70" s="9" t="n"/>
      <c r="B70" s="9" t="n"/>
      <c r="C70" s="9" t="n"/>
      <c r="D70" s="9" t="n"/>
      <c r="E70" s="9" t="n"/>
      <c r="F70" s="9" t="n"/>
      <c r="G70" s="9" t="n"/>
      <c r="H70" s="9">
        <f>IF(AND(E70&lt;&gt;"",F70&lt;&gt;""),ROUND(E70/F70,1),"")</f>
        <v/>
      </c>
      <c r="I70" s="9" t="n"/>
      <c r="J70" s="9">
        <f>IF(AND(F70&lt;&gt;"",I70&lt;&gt;""),ROUND(F70*I70,0),"")</f>
        <v/>
      </c>
      <c r="K70" s="9">
        <f>IF(I70="","",IF(I70&lt;=4,"Leve",IF(I70&lt;=6,"Moderado",IF(I70&lt;=8,"Intenso","Muito Intenso"))))</f>
        <v/>
      </c>
      <c r="L70" s="9">
        <f>IF(J70="","",IF(J70&gt;800,"CRÍTICO",IF(J70&gt;600,"ATENÇÃO","OK")))</f>
        <v/>
      </c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>
        <f>IF(AND(AC70&lt;&gt;"",AD70&lt;&gt;""),AC70+AD70,"")</f>
        <v/>
      </c>
      <c r="AI70" s="9" t="n"/>
      <c r="AJ70" s="9" t="n"/>
      <c r="AK70" s="9" t="n"/>
      <c r="AL70" s="9" t="n"/>
      <c r="AM70" s="9" t="n"/>
    </row>
    <row r="71" ht="18" customHeight="1">
      <c r="A71" s="10" t="n"/>
      <c r="B71" s="10" t="n"/>
      <c r="C71" s="10" t="n"/>
      <c r="D71" s="10" t="n"/>
      <c r="E71" s="10" t="n"/>
      <c r="F71" s="10" t="n"/>
      <c r="G71" s="10" t="n"/>
      <c r="H71" s="10">
        <f>IF(AND(E71&lt;&gt;"",F71&lt;&gt;""),ROUND(E71/F71,1),"")</f>
        <v/>
      </c>
      <c r="I71" s="10" t="n"/>
      <c r="J71" s="10">
        <f>IF(AND(F71&lt;&gt;"",I71&lt;&gt;""),ROUND(F71*I71,0),"")</f>
        <v/>
      </c>
      <c r="K71" s="10">
        <f>IF(I71="","",IF(I71&lt;=4,"Leve",IF(I71&lt;=6,"Moderado",IF(I71&lt;=8,"Intenso","Muito Intenso"))))</f>
        <v/>
      </c>
      <c r="L71" s="10">
        <f>IF(J71="","",IF(J71&gt;800,"CRÍTICO",IF(J71&gt;600,"ATENÇÃO","OK")))</f>
        <v/>
      </c>
      <c r="M71" s="10" t="n"/>
      <c r="N71" s="10" t="n"/>
      <c r="O71" s="10" t="n"/>
      <c r="P71" s="10" t="n"/>
      <c r="Q71" s="10" t="n"/>
      <c r="R71" s="10" t="n"/>
      <c r="S71" s="10" t="n"/>
      <c r="T71" s="10" t="n"/>
      <c r="U71" s="10" t="n"/>
      <c r="V71" s="10" t="n"/>
      <c r="W71" s="10" t="n"/>
      <c r="X71" s="10" t="n"/>
      <c r="Y71" s="10" t="n"/>
      <c r="Z71" s="10" t="n"/>
      <c r="AA71" s="10" t="n"/>
      <c r="AB71" s="10" t="n"/>
      <c r="AC71" s="10" t="n"/>
      <c r="AD71" s="10" t="n"/>
      <c r="AE71" s="10" t="n"/>
      <c r="AF71" s="10" t="n"/>
      <c r="AG71" s="10" t="n"/>
      <c r="AH71" s="10">
        <f>IF(AND(AC71&lt;&gt;"",AD71&lt;&gt;""),AC71+AD71,"")</f>
        <v/>
      </c>
      <c r="AI71" s="10" t="n"/>
      <c r="AJ71" s="10" t="n"/>
      <c r="AK71" s="10" t="n"/>
      <c r="AL71" s="10" t="n"/>
      <c r="AM71" s="10" t="n"/>
    </row>
    <row r="72" ht="18" customHeight="1">
      <c r="A72" s="9" t="n"/>
      <c r="B72" s="9" t="n"/>
      <c r="C72" s="9" t="n"/>
      <c r="D72" s="9" t="n"/>
      <c r="E72" s="9" t="n"/>
      <c r="F72" s="9" t="n"/>
      <c r="G72" s="9" t="n"/>
      <c r="H72" s="9">
        <f>IF(AND(E72&lt;&gt;"",F72&lt;&gt;""),ROUND(E72/F72,1),"")</f>
        <v/>
      </c>
      <c r="I72" s="9" t="n"/>
      <c r="J72" s="9">
        <f>IF(AND(F72&lt;&gt;"",I72&lt;&gt;""),ROUND(F72*I72,0),"")</f>
        <v/>
      </c>
      <c r="K72" s="9">
        <f>IF(I72="","",IF(I72&lt;=4,"Leve",IF(I72&lt;=6,"Moderado",IF(I72&lt;=8,"Intenso","Muito Intenso"))))</f>
        <v/>
      </c>
      <c r="L72" s="9">
        <f>IF(J72="","",IF(J72&gt;800,"CRÍTICO",IF(J72&gt;600,"ATENÇÃO","OK")))</f>
        <v/>
      </c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>
        <f>IF(AND(AC72&lt;&gt;"",AD72&lt;&gt;""),AC72+AD72,"")</f>
        <v/>
      </c>
      <c r="AI72" s="9" t="n"/>
      <c r="AJ72" s="9" t="n"/>
      <c r="AK72" s="9" t="n"/>
      <c r="AL72" s="9" t="n"/>
      <c r="AM72" s="9" t="n"/>
    </row>
    <row r="73" ht="18" customHeight="1">
      <c r="A73" s="10" t="n"/>
      <c r="B73" s="10" t="n"/>
      <c r="C73" s="10" t="n"/>
      <c r="D73" s="10" t="n"/>
      <c r="E73" s="10" t="n"/>
      <c r="F73" s="10" t="n"/>
      <c r="G73" s="10" t="n"/>
      <c r="H73" s="10">
        <f>IF(AND(E73&lt;&gt;"",F73&lt;&gt;""),ROUND(E73/F73,1),"")</f>
        <v/>
      </c>
      <c r="I73" s="10" t="n"/>
      <c r="J73" s="10">
        <f>IF(AND(F73&lt;&gt;"",I73&lt;&gt;""),ROUND(F73*I73,0),"")</f>
        <v/>
      </c>
      <c r="K73" s="10">
        <f>IF(I73="","",IF(I73&lt;=4,"Leve",IF(I73&lt;=6,"Moderado",IF(I73&lt;=8,"Intenso","Muito Intenso"))))</f>
        <v/>
      </c>
      <c r="L73" s="10">
        <f>IF(J73="","",IF(J73&gt;800,"CRÍTICO",IF(J73&gt;600,"ATENÇÃO","OK")))</f>
        <v/>
      </c>
      <c r="M73" s="10" t="n"/>
      <c r="N73" s="10" t="n"/>
      <c r="O73" s="10" t="n"/>
      <c r="P73" s="10" t="n"/>
      <c r="Q73" s="10" t="n"/>
      <c r="R73" s="10" t="n"/>
      <c r="S73" s="10" t="n"/>
      <c r="T73" s="10" t="n"/>
      <c r="U73" s="10" t="n"/>
      <c r="V73" s="10" t="n"/>
      <c r="W73" s="10" t="n"/>
      <c r="X73" s="10" t="n"/>
      <c r="Y73" s="10" t="n"/>
      <c r="Z73" s="10" t="n"/>
      <c r="AA73" s="10" t="n"/>
      <c r="AB73" s="10" t="n"/>
      <c r="AC73" s="10" t="n"/>
      <c r="AD73" s="10" t="n"/>
      <c r="AE73" s="10" t="n"/>
      <c r="AF73" s="10" t="n"/>
      <c r="AG73" s="10" t="n"/>
      <c r="AH73" s="10">
        <f>IF(AND(AC73&lt;&gt;"",AD73&lt;&gt;""),AC73+AD73,"")</f>
        <v/>
      </c>
      <c r="AI73" s="10" t="n"/>
      <c r="AJ73" s="10" t="n"/>
      <c r="AK73" s="10" t="n"/>
      <c r="AL73" s="10" t="n"/>
      <c r="AM73" s="10" t="n"/>
    </row>
    <row r="74" ht="18" customHeight="1">
      <c r="A74" s="9" t="n"/>
      <c r="B74" s="9" t="n"/>
      <c r="C74" s="9" t="n"/>
      <c r="D74" s="9" t="n"/>
      <c r="E74" s="9" t="n"/>
      <c r="F74" s="9" t="n"/>
      <c r="G74" s="9" t="n"/>
      <c r="H74" s="9">
        <f>IF(AND(E74&lt;&gt;"",F74&lt;&gt;""),ROUND(E74/F74,1),"")</f>
        <v/>
      </c>
      <c r="I74" s="9" t="n"/>
      <c r="J74" s="9">
        <f>IF(AND(F74&lt;&gt;"",I74&lt;&gt;""),ROUND(F74*I74,0),"")</f>
        <v/>
      </c>
      <c r="K74" s="9">
        <f>IF(I74="","",IF(I74&lt;=4,"Leve",IF(I74&lt;=6,"Moderado",IF(I74&lt;=8,"Intenso","Muito Intenso"))))</f>
        <v/>
      </c>
      <c r="L74" s="9">
        <f>IF(J74="","",IF(J74&gt;800,"CRÍTICO",IF(J74&gt;600,"ATENÇÃO","OK")))</f>
        <v/>
      </c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>
        <f>IF(AND(AC74&lt;&gt;"",AD74&lt;&gt;""),AC74+AD74,"")</f>
        <v/>
      </c>
      <c r="AI74" s="9" t="n"/>
      <c r="AJ74" s="9" t="n"/>
      <c r="AK74" s="9" t="n"/>
      <c r="AL74" s="9" t="n"/>
      <c r="AM74" s="9" t="n"/>
    </row>
    <row r="75" ht="18" customHeight="1">
      <c r="A75" s="10" t="n"/>
      <c r="B75" s="10" t="n"/>
      <c r="C75" s="10" t="n"/>
      <c r="D75" s="10" t="n"/>
      <c r="E75" s="10" t="n"/>
      <c r="F75" s="10" t="n"/>
      <c r="G75" s="10" t="n"/>
      <c r="H75" s="10">
        <f>IF(AND(E75&lt;&gt;"",F75&lt;&gt;""),ROUND(E75/F75,1),"")</f>
        <v/>
      </c>
      <c r="I75" s="10" t="n"/>
      <c r="J75" s="10">
        <f>IF(AND(F75&lt;&gt;"",I75&lt;&gt;""),ROUND(F75*I75,0),"")</f>
        <v/>
      </c>
      <c r="K75" s="10">
        <f>IF(I75="","",IF(I75&lt;=4,"Leve",IF(I75&lt;=6,"Moderado",IF(I75&lt;=8,"Intenso","Muito Intenso"))))</f>
        <v/>
      </c>
      <c r="L75" s="10">
        <f>IF(J75="","",IF(J75&gt;800,"CRÍTICO",IF(J75&gt;600,"ATENÇÃO","OK")))</f>
        <v/>
      </c>
      <c r="M75" s="10" t="n"/>
      <c r="N75" s="10" t="n"/>
      <c r="O75" s="10" t="n"/>
      <c r="P75" s="10" t="n"/>
      <c r="Q75" s="10" t="n"/>
      <c r="R75" s="10" t="n"/>
      <c r="S75" s="10" t="n"/>
      <c r="T75" s="10" t="n"/>
      <c r="U75" s="10" t="n"/>
      <c r="V75" s="10" t="n"/>
      <c r="W75" s="10" t="n"/>
      <c r="X75" s="10" t="n"/>
      <c r="Y75" s="10" t="n"/>
      <c r="Z75" s="10" t="n"/>
      <c r="AA75" s="10" t="n"/>
      <c r="AB75" s="10" t="n"/>
      <c r="AC75" s="10" t="n"/>
      <c r="AD75" s="10" t="n"/>
      <c r="AE75" s="10" t="n"/>
      <c r="AF75" s="10" t="n"/>
      <c r="AG75" s="10" t="n"/>
      <c r="AH75" s="10">
        <f>IF(AND(AC75&lt;&gt;"",AD75&lt;&gt;""),AC75+AD75,"")</f>
        <v/>
      </c>
      <c r="AI75" s="10" t="n"/>
      <c r="AJ75" s="10" t="n"/>
      <c r="AK75" s="10" t="n"/>
      <c r="AL75" s="10" t="n"/>
      <c r="AM75" s="10" t="n"/>
    </row>
    <row r="76" ht="18" customHeight="1">
      <c r="A76" s="9" t="n"/>
      <c r="B76" s="9" t="n"/>
      <c r="C76" s="9" t="n"/>
      <c r="D76" s="9" t="n"/>
      <c r="E76" s="9" t="n"/>
      <c r="F76" s="9" t="n"/>
      <c r="G76" s="9" t="n"/>
      <c r="H76" s="9">
        <f>IF(AND(E76&lt;&gt;"",F76&lt;&gt;""),ROUND(E76/F76,1),"")</f>
        <v/>
      </c>
      <c r="I76" s="9" t="n"/>
      <c r="J76" s="9">
        <f>IF(AND(F76&lt;&gt;"",I76&lt;&gt;""),ROUND(F76*I76,0),"")</f>
        <v/>
      </c>
      <c r="K76" s="9">
        <f>IF(I76="","",IF(I76&lt;=4,"Leve",IF(I76&lt;=6,"Moderado",IF(I76&lt;=8,"Intenso","Muito Intenso"))))</f>
        <v/>
      </c>
      <c r="L76" s="9">
        <f>IF(J76="","",IF(J76&gt;800,"CRÍTICO",IF(J76&gt;600,"ATENÇÃO","OK")))</f>
        <v/>
      </c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>
        <f>IF(AND(AC76&lt;&gt;"",AD76&lt;&gt;""),AC76+AD76,"")</f>
        <v/>
      </c>
      <c r="AI76" s="9" t="n"/>
      <c r="AJ76" s="9" t="n"/>
      <c r="AK76" s="9" t="n"/>
      <c r="AL76" s="9" t="n"/>
      <c r="AM76" s="9" t="n"/>
    </row>
    <row r="77" ht="18" customHeight="1">
      <c r="A77" s="10" t="n"/>
      <c r="B77" s="10" t="n"/>
      <c r="C77" s="10" t="n"/>
      <c r="D77" s="10" t="n"/>
      <c r="E77" s="10" t="n"/>
      <c r="F77" s="10" t="n"/>
      <c r="G77" s="10" t="n"/>
      <c r="H77" s="10">
        <f>IF(AND(E77&lt;&gt;"",F77&lt;&gt;""),ROUND(E77/F77,1),"")</f>
        <v/>
      </c>
      <c r="I77" s="10" t="n"/>
      <c r="J77" s="10">
        <f>IF(AND(F77&lt;&gt;"",I77&lt;&gt;""),ROUND(F77*I77,0),"")</f>
        <v/>
      </c>
      <c r="K77" s="10">
        <f>IF(I77="","",IF(I77&lt;=4,"Leve",IF(I77&lt;=6,"Moderado",IF(I77&lt;=8,"Intenso","Muito Intenso"))))</f>
        <v/>
      </c>
      <c r="L77" s="10">
        <f>IF(J77="","",IF(J77&gt;800,"CRÍTICO",IF(J77&gt;600,"ATENÇÃO","OK")))</f>
        <v/>
      </c>
      <c r="M77" s="10" t="n"/>
      <c r="N77" s="10" t="n"/>
      <c r="O77" s="10" t="n"/>
      <c r="P77" s="10" t="n"/>
      <c r="Q77" s="10" t="n"/>
      <c r="R77" s="10" t="n"/>
      <c r="S77" s="10" t="n"/>
      <c r="T77" s="10" t="n"/>
      <c r="U77" s="10" t="n"/>
      <c r="V77" s="10" t="n"/>
      <c r="W77" s="10" t="n"/>
      <c r="X77" s="10" t="n"/>
      <c r="Y77" s="10" t="n"/>
      <c r="Z77" s="10" t="n"/>
      <c r="AA77" s="10" t="n"/>
      <c r="AB77" s="10" t="n"/>
      <c r="AC77" s="10" t="n"/>
      <c r="AD77" s="10" t="n"/>
      <c r="AE77" s="10" t="n"/>
      <c r="AF77" s="10" t="n"/>
      <c r="AG77" s="10" t="n"/>
      <c r="AH77" s="10">
        <f>IF(AND(AC77&lt;&gt;"",AD77&lt;&gt;""),AC77+AD77,"")</f>
        <v/>
      </c>
      <c r="AI77" s="10" t="n"/>
      <c r="AJ77" s="10" t="n"/>
      <c r="AK77" s="10" t="n"/>
      <c r="AL77" s="10" t="n"/>
      <c r="AM77" s="10" t="n"/>
    </row>
    <row r="78" ht="18" customHeight="1">
      <c r="A78" s="9" t="n"/>
      <c r="B78" s="9" t="n"/>
      <c r="C78" s="9" t="n"/>
      <c r="D78" s="9" t="n"/>
      <c r="E78" s="9" t="n"/>
      <c r="F78" s="9" t="n"/>
      <c r="G78" s="9" t="n"/>
      <c r="H78" s="9">
        <f>IF(AND(E78&lt;&gt;"",F78&lt;&gt;""),ROUND(E78/F78,1),"")</f>
        <v/>
      </c>
      <c r="I78" s="9" t="n"/>
      <c r="J78" s="9">
        <f>IF(AND(F78&lt;&gt;"",I78&lt;&gt;""),ROUND(F78*I78,0),"")</f>
        <v/>
      </c>
      <c r="K78" s="9">
        <f>IF(I78="","",IF(I78&lt;=4,"Leve",IF(I78&lt;=6,"Moderado",IF(I78&lt;=8,"Intenso","Muito Intenso"))))</f>
        <v/>
      </c>
      <c r="L78" s="9">
        <f>IF(J78="","",IF(J78&gt;800,"CRÍTICO",IF(J78&gt;600,"ATENÇÃO","OK")))</f>
        <v/>
      </c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>
        <f>IF(AND(AC78&lt;&gt;"",AD78&lt;&gt;""),AC78+AD78,"")</f>
        <v/>
      </c>
      <c r="AI78" s="9" t="n"/>
      <c r="AJ78" s="9" t="n"/>
      <c r="AK78" s="9" t="n"/>
      <c r="AL78" s="9" t="n"/>
      <c r="AM78" s="9" t="n"/>
    </row>
    <row r="79" ht="18" customHeight="1">
      <c r="A79" s="10" t="n"/>
      <c r="B79" s="10" t="n"/>
      <c r="C79" s="10" t="n"/>
      <c r="D79" s="10" t="n"/>
      <c r="E79" s="10" t="n"/>
      <c r="F79" s="10" t="n"/>
      <c r="G79" s="10" t="n"/>
      <c r="H79" s="10">
        <f>IF(AND(E79&lt;&gt;"",F79&lt;&gt;""),ROUND(E79/F79,1),"")</f>
        <v/>
      </c>
      <c r="I79" s="10" t="n"/>
      <c r="J79" s="10">
        <f>IF(AND(F79&lt;&gt;"",I79&lt;&gt;""),ROUND(F79*I79,0),"")</f>
        <v/>
      </c>
      <c r="K79" s="10">
        <f>IF(I79="","",IF(I79&lt;=4,"Leve",IF(I79&lt;=6,"Moderado",IF(I79&lt;=8,"Intenso","Muito Intenso"))))</f>
        <v/>
      </c>
      <c r="L79" s="10">
        <f>IF(J79="","",IF(J79&gt;800,"CRÍTICO",IF(J79&gt;600,"ATENÇÃO","OK")))</f>
        <v/>
      </c>
      <c r="M79" s="10" t="n"/>
      <c r="N79" s="10" t="n"/>
      <c r="O79" s="10" t="n"/>
      <c r="P79" s="10" t="n"/>
      <c r="Q79" s="10" t="n"/>
      <c r="R79" s="10" t="n"/>
      <c r="S79" s="10" t="n"/>
      <c r="T79" s="10" t="n"/>
      <c r="U79" s="10" t="n"/>
      <c r="V79" s="10" t="n"/>
      <c r="W79" s="10" t="n"/>
      <c r="X79" s="10" t="n"/>
      <c r="Y79" s="10" t="n"/>
      <c r="Z79" s="10" t="n"/>
      <c r="AA79" s="10" t="n"/>
      <c r="AB79" s="10" t="n"/>
      <c r="AC79" s="10" t="n"/>
      <c r="AD79" s="10" t="n"/>
      <c r="AE79" s="10" t="n"/>
      <c r="AF79" s="10" t="n"/>
      <c r="AG79" s="10" t="n"/>
      <c r="AH79" s="10">
        <f>IF(AND(AC79&lt;&gt;"",AD79&lt;&gt;""),AC79+AD79,"")</f>
        <v/>
      </c>
      <c r="AI79" s="10" t="n"/>
      <c r="AJ79" s="10" t="n"/>
      <c r="AK79" s="10" t="n"/>
      <c r="AL79" s="10" t="n"/>
      <c r="AM79" s="10" t="n"/>
    </row>
    <row r="80" ht="18" customHeight="1">
      <c r="A80" s="9" t="n"/>
      <c r="B80" s="9" t="n"/>
      <c r="C80" s="9" t="n"/>
      <c r="D80" s="9" t="n"/>
      <c r="E80" s="9" t="n"/>
      <c r="F80" s="9" t="n"/>
      <c r="G80" s="9" t="n"/>
      <c r="H80" s="9">
        <f>IF(AND(E80&lt;&gt;"",F80&lt;&gt;""),ROUND(E80/F80,1),"")</f>
        <v/>
      </c>
      <c r="I80" s="9" t="n"/>
      <c r="J80" s="9">
        <f>IF(AND(F80&lt;&gt;"",I80&lt;&gt;""),ROUND(F80*I80,0),"")</f>
        <v/>
      </c>
      <c r="K80" s="9">
        <f>IF(I80="","",IF(I80&lt;=4,"Leve",IF(I80&lt;=6,"Moderado",IF(I80&lt;=8,"Intenso","Muito Intenso"))))</f>
        <v/>
      </c>
      <c r="L80" s="9">
        <f>IF(J80="","",IF(J80&gt;800,"CRÍTICO",IF(J80&gt;600,"ATENÇÃO","OK")))</f>
        <v/>
      </c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>
        <f>IF(AND(AC80&lt;&gt;"",AD80&lt;&gt;""),AC80+AD80,"")</f>
        <v/>
      </c>
      <c r="AI80" s="9" t="n"/>
      <c r="AJ80" s="9" t="n"/>
      <c r="AK80" s="9" t="n"/>
      <c r="AL80" s="9" t="n"/>
      <c r="AM80" s="9" t="n"/>
    </row>
    <row r="81" ht="18" customHeight="1">
      <c r="A81" s="10" t="n"/>
      <c r="B81" s="10" t="n"/>
      <c r="C81" s="10" t="n"/>
      <c r="D81" s="10" t="n"/>
      <c r="E81" s="10" t="n"/>
      <c r="F81" s="10" t="n"/>
      <c r="G81" s="10" t="n"/>
      <c r="H81" s="10">
        <f>IF(AND(E81&lt;&gt;"",F81&lt;&gt;""),ROUND(E81/F81,1),"")</f>
        <v/>
      </c>
      <c r="I81" s="10" t="n"/>
      <c r="J81" s="10">
        <f>IF(AND(F81&lt;&gt;"",I81&lt;&gt;""),ROUND(F81*I81,0),"")</f>
        <v/>
      </c>
      <c r="K81" s="10">
        <f>IF(I81="","",IF(I81&lt;=4,"Leve",IF(I81&lt;=6,"Moderado",IF(I81&lt;=8,"Intenso","Muito Intenso"))))</f>
        <v/>
      </c>
      <c r="L81" s="10">
        <f>IF(J81="","",IF(J81&gt;800,"CRÍTICO",IF(J81&gt;600,"ATENÇÃO","OK")))</f>
        <v/>
      </c>
      <c r="M81" s="10" t="n"/>
      <c r="N81" s="10" t="n"/>
      <c r="O81" s="10" t="n"/>
      <c r="P81" s="10" t="n"/>
      <c r="Q81" s="10" t="n"/>
      <c r="R81" s="10" t="n"/>
      <c r="S81" s="10" t="n"/>
      <c r="T81" s="10" t="n"/>
      <c r="U81" s="10" t="n"/>
      <c r="V81" s="10" t="n"/>
      <c r="W81" s="10" t="n"/>
      <c r="X81" s="10" t="n"/>
      <c r="Y81" s="10" t="n"/>
      <c r="Z81" s="10" t="n"/>
      <c r="AA81" s="10" t="n"/>
      <c r="AB81" s="10" t="n"/>
      <c r="AC81" s="10" t="n"/>
      <c r="AD81" s="10" t="n"/>
      <c r="AE81" s="10" t="n"/>
      <c r="AF81" s="10" t="n"/>
      <c r="AG81" s="10" t="n"/>
      <c r="AH81" s="10">
        <f>IF(AND(AC81&lt;&gt;"",AD81&lt;&gt;""),AC81+AD81,"")</f>
        <v/>
      </c>
      <c r="AI81" s="10" t="n"/>
      <c r="AJ81" s="10" t="n"/>
      <c r="AK81" s="10" t="n"/>
      <c r="AL81" s="10" t="n"/>
      <c r="AM81" s="10" t="n"/>
    </row>
    <row r="82" ht="18" customHeight="1">
      <c r="A82" s="9" t="n"/>
      <c r="B82" s="9" t="n"/>
      <c r="C82" s="9" t="n"/>
      <c r="D82" s="9" t="n"/>
      <c r="E82" s="9" t="n"/>
      <c r="F82" s="9" t="n"/>
      <c r="G82" s="9" t="n"/>
      <c r="H82" s="9">
        <f>IF(AND(E82&lt;&gt;"",F82&lt;&gt;""),ROUND(E82/F82,1),"")</f>
        <v/>
      </c>
      <c r="I82" s="9" t="n"/>
      <c r="J82" s="9">
        <f>IF(AND(F82&lt;&gt;"",I82&lt;&gt;""),ROUND(F82*I82,0),"")</f>
        <v/>
      </c>
      <c r="K82" s="9">
        <f>IF(I82="","",IF(I82&lt;=4,"Leve",IF(I82&lt;=6,"Moderado",IF(I82&lt;=8,"Intenso","Muito Intenso"))))</f>
        <v/>
      </c>
      <c r="L82" s="9">
        <f>IF(J82="","",IF(J82&gt;800,"CRÍTICO",IF(J82&gt;600,"ATENÇÃO","OK")))</f>
        <v/>
      </c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>
        <f>IF(AND(AC82&lt;&gt;"",AD82&lt;&gt;""),AC82+AD82,"")</f>
        <v/>
      </c>
      <c r="AI82" s="9" t="n"/>
      <c r="AJ82" s="9" t="n"/>
      <c r="AK82" s="9" t="n"/>
      <c r="AL82" s="9" t="n"/>
      <c r="AM82" s="9" t="n"/>
    </row>
    <row r="83" ht="18" customHeight="1">
      <c r="A83" s="10" t="n"/>
      <c r="B83" s="10" t="n"/>
      <c r="C83" s="10" t="n"/>
      <c r="D83" s="10" t="n"/>
      <c r="E83" s="10" t="n"/>
      <c r="F83" s="10" t="n"/>
      <c r="G83" s="10" t="n"/>
      <c r="H83" s="10">
        <f>IF(AND(E83&lt;&gt;"",F83&lt;&gt;""),ROUND(E83/F83,1),"")</f>
        <v/>
      </c>
      <c r="I83" s="10" t="n"/>
      <c r="J83" s="10">
        <f>IF(AND(F83&lt;&gt;"",I83&lt;&gt;""),ROUND(F83*I83,0),"")</f>
        <v/>
      </c>
      <c r="K83" s="10">
        <f>IF(I83="","",IF(I83&lt;=4,"Leve",IF(I83&lt;=6,"Moderado",IF(I83&lt;=8,"Intenso","Muito Intenso"))))</f>
        <v/>
      </c>
      <c r="L83" s="10">
        <f>IF(J83="","",IF(J83&gt;800,"CRÍTICO",IF(J83&gt;600,"ATENÇÃO","OK")))</f>
        <v/>
      </c>
      <c r="M83" s="10" t="n"/>
      <c r="N83" s="10" t="n"/>
      <c r="O83" s="10" t="n"/>
      <c r="P83" s="10" t="n"/>
      <c r="Q83" s="10" t="n"/>
      <c r="R83" s="10" t="n"/>
      <c r="S83" s="10" t="n"/>
      <c r="T83" s="10" t="n"/>
      <c r="U83" s="10" t="n"/>
      <c r="V83" s="10" t="n"/>
      <c r="W83" s="10" t="n"/>
      <c r="X83" s="10" t="n"/>
      <c r="Y83" s="10" t="n"/>
      <c r="Z83" s="10" t="n"/>
      <c r="AA83" s="10" t="n"/>
      <c r="AB83" s="10" t="n"/>
      <c r="AC83" s="10" t="n"/>
      <c r="AD83" s="10" t="n"/>
      <c r="AE83" s="10" t="n"/>
      <c r="AF83" s="10" t="n"/>
      <c r="AG83" s="10" t="n"/>
      <c r="AH83" s="10">
        <f>IF(AND(AC83&lt;&gt;"",AD83&lt;&gt;""),AC83+AD83,"")</f>
        <v/>
      </c>
      <c r="AI83" s="10" t="n"/>
      <c r="AJ83" s="10" t="n"/>
      <c r="AK83" s="10" t="n"/>
      <c r="AL83" s="10" t="n"/>
      <c r="AM83" s="10" t="n"/>
    </row>
    <row r="84" ht="18" customHeight="1">
      <c r="A84" s="9" t="n"/>
      <c r="B84" s="9" t="n"/>
      <c r="C84" s="9" t="n"/>
      <c r="D84" s="9" t="n"/>
      <c r="E84" s="9" t="n"/>
      <c r="F84" s="9" t="n"/>
      <c r="G84" s="9" t="n"/>
      <c r="H84" s="9">
        <f>IF(AND(E84&lt;&gt;"",F84&lt;&gt;""),ROUND(E84/F84,1),"")</f>
        <v/>
      </c>
      <c r="I84" s="9" t="n"/>
      <c r="J84" s="9">
        <f>IF(AND(F84&lt;&gt;"",I84&lt;&gt;""),ROUND(F84*I84,0),"")</f>
        <v/>
      </c>
      <c r="K84" s="9">
        <f>IF(I84="","",IF(I84&lt;=4,"Leve",IF(I84&lt;=6,"Moderado",IF(I84&lt;=8,"Intenso","Muito Intenso"))))</f>
        <v/>
      </c>
      <c r="L84" s="9">
        <f>IF(J84="","",IF(J84&gt;800,"CRÍTICO",IF(J84&gt;600,"ATENÇÃO","OK")))</f>
        <v/>
      </c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>
        <f>IF(AND(AC84&lt;&gt;"",AD84&lt;&gt;""),AC84+AD84,"")</f>
        <v/>
      </c>
      <c r="AI84" s="9" t="n"/>
      <c r="AJ84" s="9" t="n"/>
      <c r="AK84" s="9" t="n"/>
      <c r="AL84" s="9" t="n"/>
      <c r="AM84" s="9" t="n"/>
    </row>
    <row r="85" ht="18" customHeight="1">
      <c r="A85" s="10" t="n"/>
      <c r="B85" s="10" t="n"/>
      <c r="C85" s="10" t="n"/>
      <c r="D85" s="10" t="n"/>
      <c r="E85" s="10" t="n"/>
      <c r="F85" s="10" t="n"/>
      <c r="G85" s="10" t="n"/>
      <c r="H85" s="10">
        <f>IF(AND(E85&lt;&gt;"",F85&lt;&gt;""),ROUND(E85/F85,1),"")</f>
        <v/>
      </c>
      <c r="I85" s="10" t="n"/>
      <c r="J85" s="10">
        <f>IF(AND(F85&lt;&gt;"",I85&lt;&gt;""),ROUND(F85*I85,0),"")</f>
        <v/>
      </c>
      <c r="K85" s="10">
        <f>IF(I85="","",IF(I85&lt;=4,"Leve",IF(I85&lt;=6,"Moderado",IF(I85&lt;=8,"Intenso","Muito Intenso"))))</f>
        <v/>
      </c>
      <c r="L85" s="10">
        <f>IF(J85="","",IF(J85&gt;800,"CRÍTICO",IF(J85&gt;600,"ATENÇÃO","OK")))</f>
        <v/>
      </c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>
        <f>IF(AND(AC85&lt;&gt;"",AD85&lt;&gt;""),AC85+AD85,"")</f>
        <v/>
      </c>
      <c r="AI85" s="10" t="n"/>
      <c r="AJ85" s="10" t="n"/>
      <c r="AK85" s="10" t="n"/>
      <c r="AL85" s="10" t="n"/>
      <c r="AM85" s="10" t="n"/>
    </row>
    <row r="86" ht="18" customHeight="1">
      <c r="A86" s="9" t="n"/>
      <c r="B86" s="9" t="n"/>
      <c r="C86" s="9" t="n"/>
      <c r="D86" s="9" t="n"/>
      <c r="E86" s="9" t="n"/>
      <c r="F86" s="9" t="n"/>
      <c r="G86" s="9" t="n"/>
      <c r="H86" s="9">
        <f>IF(AND(E86&lt;&gt;"",F86&lt;&gt;""),ROUND(E86/F86,1),"")</f>
        <v/>
      </c>
      <c r="I86" s="9" t="n"/>
      <c r="J86" s="9">
        <f>IF(AND(F86&lt;&gt;"",I86&lt;&gt;""),ROUND(F86*I86,0),"")</f>
        <v/>
      </c>
      <c r="K86" s="9">
        <f>IF(I86="","",IF(I86&lt;=4,"Leve",IF(I86&lt;=6,"Moderado",IF(I86&lt;=8,"Intenso","Muito Intenso"))))</f>
        <v/>
      </c>
      <c r="L86" s="9">
        <f>IF(J86="","",IF(J86&gt;800,"CRÍTICO",IF(J86&gt;600,"ATENÇÃO","OK")))</f>
        <v/>
      </c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>
        <f>IF(AND(AC86&lt;&gt;"",AD86&lt;&gt;""),AC86+AD86,"")</f>
        <v/>
      </c>
      <c r="AI86" s="9" t="n"/>
      <c r="AJ86" s="9" t="n"/>
      <c r="AK86" s="9" t="n"/>
      <c r="AL86" s="9" t="n"/>
      <c r="AM86" s="9" t="n"/>
    </row>
    <row r="87" ht="18" customHeight="1">
      <c r="A87" s="10" t="n"/>
      <c r="B87" s="10" t="n"/>
      <c r="C87" s="10" t="n"/>
      <c r="D87" s="10" t="n"/>
      <c r="E87" s="10" t="n"/>
      <c r="F87" s="10" t="n"/>
      <c r="G87" s="10" t="n"/>
      <c r="H87" s="10">
        <f>IF(AND(E87&lt;&gt;"",F87&lt;&gt;""),ROUND(E87/F87,1),"")</f>
        <v/>
      </c>
      <c r="I87" s="10" t="n"/>
      <c r="J87" s="10">
        <f>IF(AND(F87&lt;&gt;"",I87&lt;&gt;""),ROUND(F87*I87,0),"")</f>
        <v/>
      </c>
      <c r="K87" s="10">
        <f>IF(I87="","",IF(I87&lt;=4,"Leve",IF(I87&lt;=6,"Moderado",IF(I87&lt;=8,"Intenso","Muito Intenso"))))</f>
        <v/>
      </c>
      <c r="L87" s="10">
        <f>IF(J87="","",IF(J87&gt;800,"CRÍTICO",IF(J87&gt;600,"ATENÇÃO","OK")))</f>
        <v/>
      </c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s="10" t="n"/>
      <c r="W87" s="10" t="n"/>
      <c r="X87" s="10" t="n"/>
      <c r="Y87" s="10" t="n"/>
      <c r="Z87" s="10" t="n"/>
      <c r="AA87" s="10" t="n"/>
      <c r="AB87" s="10" t="n"/>
      <c r="AC87" s="10" t="n"/>
      <c r="AD87" s="10" t="n"/>
      <c r="AE87" s="10" t="n"/>
      <c r="AF87" s="10" t="n"/>
      <c r="AG87" s="10" t="n"/>
      <c r="AH87" s="10">
        <f>IF(AND(AC87&lt;&gt;"",AD87&lt;&gt;""),AC87+AD87,"")</f>
        <v/>
      </c>
      <c r="AI87" s="10" t="n"/>
      <c r="AJ87" s="10" t="n"/>
      <c r="AK87" s="10" t="n"/>
      <c r="AL87" s="10" t="n"/>
      <c r="AM87" s="10" t="n"/>
    </row>
    <row r="88" ht="18" customHeight="1">
      <c r="A88" s="9" t="n"/>
      <c r="B88" s="9" t="n"/>
      <c r="C88" s="9" t="n"/>
      <c r="D88" s="9" t="n"/>
      <c r="E88" s="9" t="n"/>
      <c r="F88" s="9" t="n"/>
      <c r="G88" s="9" t="n"/>
      <c r="H88" s="9">
        <f>IF(AND(E88&lt;&gt;"",F88&lt;&gt;""),ROUND(E88/F88,1),"")</f>
        <v/>
      </c>
      <c r="I88" s="9" t="n"/>
      <c r="J88" s="9">
        <f>IF(AND(F88&lt;&gt;"",I88&lt;&gt;""),ROUND(F88*I88,0),"")</f>
        <v/>
      </c>
      <c r="K88" s="9">
        <f>IF(I88="","",IF(I88&lt;=4,"Leve",IF(I88&lt;=6,"Moderado",IF(I88&lt;=8,"Intenso","Muito Intenso"))))</f>
        <v/>
      </c>
      <c r="L88" s="9">
        <f>IF(J88="","",IF(J88&gt;800,"CRÍTICO",IF(J88&gt;600,"ATENÇÃO","OK")))</f>
        <v/>
      </c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>
        <f>IF(AND(AC88&lt;&gt;"",AD88&lt;&gt;""),AC88+AD88,"")</f>
        <v/>
      </c>
      <c r="AI88" s="9" t="n"/>
      <c r="AJ88" s="9" t="n"/>
      <c r="AK88" s="9" t="n"/>
      <c r="AL88" s="9" t="n"/>
      <c r="AM88" s="9" t="n"/>
    </row>
    <row r="89" ht="18" customHeight="1">
      <c r="A89" s="10" t="n"/>
      <c r="B89" s="10" t="n"/>
      <c r="C89" s="10" t="n"/>
      <c r="D89" s="10" t="n"/>
      <c r="E89" s="10" t="n"/>
      <c r="F89" s="10" t="n"/>
      <c r="G89" s="10" t="n"/>
      <c r="H89" s="10">
        <f>IF(AND(E89&lt;&gt;"",F89&lt;&gt;""),ROUND(E89/F89,1),"")</f>
        <v/>
      </c>
      <c r="I89" s="10" t="n"/>
      <c r="J89" s="10">
        <f>IF(AND(F89&lt;&gt;"",I89&lt;&gt;""),ROUND(F89*I89,0),"")</f>
        <v/>
      </c>
      <c r="K89" s="10">
        <f>IF(I89="","",IF(I89&lt;=4,"Leve",IF(I89&lt;=6,"Moderado",IF(I89&lt;=8,"Intenso","Muito Intenso"))))</f>
        <v/>
      </c>
      <c r="L89" s="10">
        <f>IF(J89="","",IF(J89&gt;800,"CRÍTICO",IF(J89&gt;600,"ATENÇÃO","OK")))</f>
        <v/>
      </c>
      <c r="M89" s="10" t="n"/>
      <c r="N89" s="10" t="n"/>
      <c r="O89" s="10" t="n"/>
      <c r="P89" s="10" t="n"/>
      <c r="Q89" s="10" t="n"/>
      <c r="R89" s="10" t="n"/>
      <c r="S89" s="10" t="n"/>
      <c r="T89" s="10" t="n"/>
      <c r="U89" s="10" t="n"/>
      <c r="V89" s="10" t="n"/>
      <c r="W89" s="10" t="n"/>
      <c r="X89" s="10" t="n"/>
      <c r="Y89" s="10" t="n"/>
      <c r="Z89" s="10" t="n"/>
      <c r="AA89" s="10" t="n"/>
      <c r="AB89" s="10" t="n"/>
      <c r="AC89" s="10" t="n"/>
      <c r="AD89" s="10" t="n"/>
      <c r="AE89" s="10" t="n"/>
      <c r="AF89" s="10" t="n"/>
      <c r="AG89" s="10" t="n"/>
      <c r="AH89" s="10">
        <f>IF(AND(AC89&lt;&gt;"",AD89&lt;&gt;""),AC89+AD89,"")</f>
        <v/>
      </c>
      <c r="AI89" s="10" t="n"/>
      <c r="AJ89" s="10" t="n"/>
      <c r="AK89" s="10" t="n"/>
      <c r="AL89" s="10" t="n"/>
      <c r="AM89" s="10" t="n"/>
    </row>
    <row r="90" ht="18" customHeight="1">
      <c r="A90" s="9" t="n"/>
      <c r="B90" s="9" t="n"/>
      <c r="C90" s="9" t="n"/>
      <c r="D90" s="9" t="n"/>
      <c r="E90" s="9" t="n"/>
      <c r="F90" s="9" t="n"/>
      <c r="G90" s="9" t="n"/>
      <c r="H90" s="9">
        <f>IF(AND(E90&lt;&gt;"",F90&lt;&gt;""),ROUND(E90/F90,1),"")</f>
        <v/>
      </c>
      <c r="I90" s="9" t="n"/>
      <c r="J90" s="9">
        <f>IF(AND(F90&lt;&gt;"",I90&lt;&gt;""),ROUND(F90*I90,0),"")</f>
        <v/>
      </c>
      <c r="K90" s="9">
        <f>IF(I90="","",IF(I90&lt;=4,"Leve",IF(I90&lt;=6,"Moderado",IF(I90&lt;=8,"Intenso","Muito Intenso"))))</f>
        <v/>
      </c>
      <c r="L90" s="9">
        <f>IF(J90="","",IF(J90&gt;800,"CRÍTICO",IF(J90&gt;600,"ATENÇÃO","OK")))</f>
        <v/>
      </c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>
        <f>IF(AND(AC90&lt;&gt;"",AD90&lt;&gt;""),AC90+AD90,"")</f>
        <v/>
      </c>
      <c r="AI90" s="9" t="n"/>
      <c r="AJ90" s="9" t="n"/>
      <c r="AK90" s="9" t="n"/>
      <c r="AL90" s="9" t="n"/>
      <c r="AM90" s="9" t="n"/>
    </row>
    <row r="91" ht="18" customHeight="1">
      <c r="A91" s="10" t="n"/>
      <c r="B91" s="10" t="n"/>
      <c r="C91" s="10" t="n"/>
      <c r="D91" s="10" t="n"/>
      <c r="E91" s="10" t="n"/>
      <c r="F91" s="10" t="n"/>
      <c r="G91" s="10" t="n"/>
      <c r="H91" s="10">
        <f>IF(AND(E91&lt;&gt;"",F91&lt;&gt;""),ROUND(E91/F91,1),"")</f>
        <v/>
      </c>
      <c r="I91" s="10" t="n"/>
      <c r="J91" s="10">
        <f>IF(AND(F91&lt;&gt;"",I91&lt;&gt;""),ROUND(F91*I91,0),"")</f>
        <v/>
      </c>
      <c r="K91" s="10">
        <f>IF(I91="","",IF(I91&lt;=4,"Leve",IF(I91&lt;=6,"Moderado",IF(I91&lt;=8,"Intenso","Muito Intenso"))))</f>
        <v/>
      </c>
      <c r="L91" s="10">
        <f>IF(J91="","",IF(J91&gt;800,"CRÍTICO",IF(J91&gt;600,"ATENÇÃO","OK")))</f>
        <v/>
      </c>
      <c r="M91" s="10" t="n"/>
      <c r="N91" s="10" t="n"/>
      <c r="O91" s="10" t="n"/>
      <c r="P91" s="10" t="n"/>
      <c r="Q91" s="10" t="n"/>
      <c r="R91" s="10" t="n"/>
      <c r="S91" s="10" t="n"/>
      <c r="T91" s="10" t="n"/>
      <c r="U91" s="10" t="n"/>
      <c r="V91" s="10" t="n"/>
      <c r="W91" s="10" t="n"/>
      <c r="X91" s="10" t="n"/>
      <c r="Y91" s="10" t="n"/>
      <c r="Z91" s="10" t="n"/>
      <c r="AA91" s="10" t="n"/>
      <c r="AB91" s="10" t="n"/>
      <c r="AC91" s="10" t="n"/>
      <c r="AD91" s="10" t="n"/>
      <c r="AE91" s="10" t="n"/>
      <c r="AF91" s="10" t="n"/>
      <c r="AG91" s="10" t="n"/>
      <c r="AH91" s="10">
        <f>IF(AND(AC91&lt;&gt;"",AD91&lt;&gt;""),AC91+AD91,"")</f>
        <v/>
      </c>
      <c r="AI91" s="10" t="n"/>
      <c r="AJ91" s="10" t="n"/>
      <c r="AK91" s="10" t="n"/>
      <c r="AL91" s="10" t="n"/>
      <c r="AM91" s="10" t="n"/>
    </row>
    <row r="92" ht="18" customHeight="1">
      <c r="A92" s="9" t="n"/>
      <c r="B92" s="9" t="n"/>
      <c r="C92" s="9" t="n"/>
      <c r="D92" s="9" t="n"/>
      <c r="E92" s="9" t="n"/>
      <c r="F92" s="9" t="n"/>
      <c r="G92" s="9" t="n"/>
      <c r="H92" s="9">
        <f>IF(AND(E92&lt;&gt;"",F92&lt;&gt;""),ROUND(E92/F92,1),"")</f>
        <v/>
      </c>
      <c r="I92" s="9" t="n"/>
      <c r="J92" s="9">
        <f>IF(AND(F92&lt;&gt;"",I92&lt;&gt;""),ROUND(F92*I92,0),"")</f>
        <v/>
      </c>
      <c r="K92" s="9">
        <f>IF(I92="","",IF(I92&lt;=4,"Leve",IF(I92&lt;=6,"Moderado",IF(I92&lt;=8,"Intenso","Muito Intenso"))))</f>
        <v/>
      </c>
      <c r="L92" s="9">
        <f>IF(J92="","",IF(J92&gt;800,"CRÍTICO",IF(J92&gt;600,"ATENÇÃO","OK")))</f>
        <v/>
      </c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>
        <f>IF(AND(AC92&lt;&gt;"",AD92&lt;&gt;""),AC92+AD92,"")</f>
        <v/>
      </c>
      <c r="AI92" s="9" t="n"/>
      <c r="AJ92" s="9" t="n"/>
      <c r="AK92" s="9" t="n"/>
      <c r="AL92" s="9" t="n"/>
      <c r="AM92" s="9" t="n"/>
    </row>
    <row r="93" ht="18" customHeight="1">
      <c r="A93" s="10" t="n"/>
      <c r="B93" s="10" t="n"/>
      <c r="C93" s="10" t="n"/>
      <c r="D93" s="10" t="n"/>
      <c r="E93" s="10" t="n"/>
      <c r="F93" s="10" t="n"/>
      <c r="G93" s="10" t="n"/>
      <c r="H93" s="10">
        <f>IF(AND(E93&lt;&gt;"",F93&lt;&gt;""),ROUND(E93/F93,1),"")</f>
        <v/>
      </c>
      <c r="I93" s="10" t="n"/>
      <c r="J93" s="10">
        <f>IF(AND(F93&lt;&gt;"",I93&lt;&gt;""),ROUND(F93*I93,0),"")</f>
        <v/>
      </c>
      <c r="K93" s="10">
        <f>IF(I93="","",IF(I93&lt;=4,"Leve",IF(I93&lt;=6,"Moderado",IF(I93&lt;=8,"Intenso","Muito Intenso"))))</f>
        <v/>
      </c>
      <c r="L93" s="10">
        <f>IF(J93="","",IF(J93&gt;800,"CRÍTICO",IF(J93&gt;600,"ATENÇÃO","OK")))</f>
        <v/>
      </c>
      <c r="M93" s="10" t="n"/>
      <c r="N93" s="10" t="n"/>
      <c r="O93" s="10" t="n"/>
      <c r="P93" s="10" t="n"/>
      <c r="Q93" s="10" t="n"/>
      <c r="R93" s="10" t="n"/>
      <c r="S93" s="10" t="n"/>
      <c r="T93" s="10" t="n"/>
      <c r="U93" s="10" t="n"/>
      <c r="V93" s="10" t="n"/>
      <c r="W93" s="10" t="n"/>
      <c r="X93" s="10" t="n"/>
      <c r="Y93" s="10" t="n"/>
      <c r="Z93" s="10" t="n"/>
      <c r="AA93" s="10" t="n"/>
      <c r="AB93" s="10" t="n"/>
      <c r="AC93" s="10" t="n"/>
      <c r="AD93" s="10" t="n"/>
      <c r="AE93" s="10" t="n"/>
      <c r="AF93" s="10" t="n"/>
      <c r="AG93" s="10" t="n"/>
      <c r="AH93" s="10">
        <f>IF(AND(AC93&lt;&gt;"",AD93&lt;&gt;""),AC93+AD93,"")</f>
        <v/>
      </c>
      <c r="AI93" s="10" t="n"/>
      <c r="AJ93" s="10" t="n"/>
      <c r="AK93" s="10" t="n"/>
      <c r="AL93" s="10" t="n"/>
      <c r="AM93" s="10" t="n"/>
    </row>
    <row r="94" ht="18" customHeight="1">
      <c r="A94" s="9" t="n"/>
      <c r="B94" s="9" t="n"/>
      <c r="C94" s="9" t="n"/>
      <c r="D94" s="9" t="n"/>
      <c r="E94" s="9" t="n"/>
      <c r="F94" s="9" t="n"/>
      <c r="G94" s="9" t="n"/>
      <c r="H94" s="9">
        <f>IF(AND(E94&lt;&gt;"",F94&lt;&gt;""),ROUND(E94/F94,1),"")</f>
        <v/>
      </c>
      <c r="I94" s="9" t="n"/>
      <c r="J94" s="9">
        <f>IF(AND(F94&lt;&gt;"",I94&lt;&gt;""),ROUND(F94*I94,0),"")</f>
        <v/>
      </c>
      <c r="K94" s="9">
        <f>IF(I94="","",IF(I94&lt;=4,"Leve",IF(I94&lt;=6,"Moderado",IF(I94&lt;=8,"Intenso","Muito Intenso"))))</f>
        <v/>
      </c>
      <c r="L94" s="9">
        <f>IF(J94="","",IF(J94&gt;800,"CRÍTICO",IF(J94&gt;600,"ATENÇÃO","OK")))</f>
        <v/>
      </c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>
        <f>IF(AND(AC94&lt;&gt;"",AD94&lt;&gt;""),AC94+AD94,"")</f>
        <v/>
      </c>
      <c r="AI94" s="9" t="n"/>
      <c r="AJ94" s="9" t="n"/>
      <c r="AK94" s="9" t="n"/>
      <c r="AL94" s="9" t="n"/>
      <c r="AM94" s="9" t="n"/>
    </row>
    <row r="95" ht="18" customHeight="1">
      <c r="A95" s="10" t="n"/>
      <c r="B95" s="10" t="n"/>
      <c r="C95" s="10" t="n"/>
      <c r="D95" s="10" t="n"/>
      <c r="E95" s="10" t="n"/>
      <c r="F95" s="10" t="n"/>
      <c r="G95" s="10" t="n"/>
      <c r="H95" s="10">
        <f>IF(AND(E95&lt;&gt;"",F95&lt;&gt;""),ROUND(E95/F95,1),"")</f>
        <v/>
      </c>
      <c r="I95" s="10" t="n"/>
      <c r="J95" s="10">
        <f>IF(AND(F95&lt;&gt;"",I95&lt;&gt;""),ROUND(F95*I95,0),"")</f>
        <v/>
      </c>
      <c r="K95" s="10">
        <f>IF(I95="","",IF(I95&lt;=4,"Leve",IF(I95&lt;=6,"Moderado",IF(I95&lt;=8,"Intenso","Muito Intenso"))))</f>
        <v/>
      </c>
      <c r="L95" s="10">
        <f>IF(J95="","",IF(J95&gt;800,"CRÍTICO",IF(J95&gt;600,"ATENÇÃO","OK")))</f>
        <v/>
      </c>
      <c r="M95" s="10" t="n"/>
      <c r="N95" s="10" t="n"/>
      <c r="O95" s="10" t="n"/>
      <c r="P95" s="10" t="n"/>
      <c r="Q95" s="10" t="n"/>
      <c r="R95" s="10" t="n"/>
      <c r="S95" s="10" t="n"/>
      <c r="T95" s="10" t="n"/>
      <c r="U95" s="10" t="n"/>
      <c r="V95" s="10" t="n"/>
      <c r="W95" s="10" t="n"/>
      <c r="X95" s="10" t="n"/>
      <c r="Y95" s="10" t="n"/>
      <c r="Z95" s="10" t="n"/>
      <c r="AA95" s="10" t="n"/>
      <c r="AB95" s="10" t="n"/>
      <c r="AC95" s="10" t="n"/>
      <c r="AD95" s="10" t="n"/>
      <c r="AE95" s="10" t="n"/>
      <c r="AF95" s="10" t="n"/>
      <c r="AG95" s="10" t="n"/>
      <c r="AH95" s="10">
        <f>IF(AND(AC95&lt;&gt;"",AD95&lt;&gt;""),AC95+AD95,"")</f>
        <v/>
      </c>
      <c r="AI95" s="10" t="n"/>
      <c r="AJ95" s="10" t="n"/>
      <c r="AK95" s="10" t="n"/>
      <c r="AL95" s="10" t="n"/>
      <c r="AM95" s="10" t="n"/>
    </row>
    <row r="96" ht="18" customHeight="1">
      <c r="A96" s="9" t="n"/>
      <c r="B96" s="9" t="n"/>
      <c r="C96" s="9" t="n"/>
      <c r="D96" s="9" t="n"/>
      <c r="E96" s="9" t="n"/>
      <c r="F96" s="9" t="n"/>
      <c r="G96" s="9" t="n"/>
      <c r="H96" s="9">
        <f>IF(AND(E96&lt;&gt;"",F96&lt;&gt;""),ROUND(E96/F96,1),"")</f>
        <v/>
      </c>
      <c r="I96" s="9" t="n"/>
      <c r="J96" s="9">
        <f>IF(AND(F96&lt;&gt;"",I96&lt;&gt;""),ROUND(F96*I96,0),"")</f>
        <v/>
      </c>
      <c r="K96" s="9">
        <f>IF(I96="","",IF(I96&lt;=4,"Leve",IF(I96&lt;=6,"Moderado",IF(I96&lt;=8,"Intenso","Muito Intenso"))))</f>
        <v/>
      </c>
      <c r="L96" s="9">
        <f>IF(J96="","",IF(J96&gt;800,"CRÍTICO",IF(J96&gt;600,"ATENÇÃO","OK")))</f>
        <v/>
      </c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>
        <f>IF(AND(AC96&lt;&gt;"",AD96&lt;&gt;""),AC96+AD96,"")</f>
        <v/>
      </c>
      <c r="AI96" s="9" t="n"/>
      <c r="AJ96" s="9" t="n"/>
      <c r="AK96" s="9" t="n"/>
      <c r="AL96" s="9" t="n"/>
      <c r="AM96" s="9" t="n"/>
    </row>
    <row r="97" ht="18" customHeight="1">
      <c r="A97" s="10" t="n"/>
      <c r="B97" s="10" t="n"/>
      <c r="C97" s="10" t="n"/>
      <c r="D97" s="10" t="n"/>
      <c r="E97" s="10" t="n"/>
      <c r="F97" s="10" t="n"/>
      <c r="G97" s="10" t="n"/>
      <c r="H97" s="10">
        <f>IF(AND(E97&lt;&gt;"",F97&lt;&gt;""),ROUND(E97/F97,1),"")</f>
        <v/>
      </c>
      <c r="I97" s="10" t="n"/>
      <c r="J97" s="10">
        <f>IF(AND(F97&lt;&gt;"",I97&lt;&gt;""),ROUND(F97*I97,0),"")</f>
        <v/>
      </c>
      <c r="K97" s="10">
        <f>IF(I97="","",IF(I97&lt;=4,"Leve",IF(I97&lt;=6,"Moderado",IF(I97&lt;=8,"Intenso","Muito Intenso"))))</f>
        <v/>
      </c>
      <c r="L97" s="10">
        <f>IF(J97="","",IF(J97&gt;800,"CRÍTICO",IF(J97&gt;600,"ATENÇÃO","OK")))</f>
        <v/>
      </c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s="10" t="n"/>
      <c r="W97" s="10" t="n"/>
      <c r="X97" s="10" t="n"/>
      <c r="Y97" s="10" t="n"/>
      <c r="Z97" s="10" t="n"/>
      <c r="AA97" s="10" t="n"/>
      <c r="AB97" s="10" t="n"/>
      <c r="AC97" s="10" t="n"/>
      <c r="AD97" s="10" t="n"/>
      <c r="AE97" s="10" t="n"/>
      <c r="AF97" s="10" t="n"/>
      <c r="AG97" s="10" t="n"/>
      <c r="AH97" s="10">
        <f>IF(AND(AC97&lt;&gt;"",AD97&lt;&gt;""),AC97+AD97,"")</f>
        <v/>
      </c>
      <c r="AI97" s="10" t="n"/>
      <c r="AJ97" s="10" t="n"/>
      <c r="AK97" s="10" t="n"/>
      <c r="AL97" s="10" t="n"/>
      <c r="AM97" s="10" t="n"/>
    </row>
    <row r="98" ht="18" customHeight="1">
      <c r="A98" s="9" t="n"/>
      <c r="B98" s="9" t="n"/>
      <c r="C98" s="9" t="n"/>
      <c r="D98" s="9" t="n"/>
      <c r="E98" s="9" t="n"/>
      <c r="F98" s="9" t="n"/>
      <c r="G98" s="9" t="n"/>
      <c r="H98" s="9">
        <f>IF(AND(E98&lt;&gt;"",F98&lt;&gt;""),ROUND(E98/F98,1),"")</f>
        <v/>
      </c>
      <c r="I98" s="9" t="n"/>
      <c r="J98" s="9">
        <f>IF(AND(F98&lt;&gt;"",I98&lt;&gt;""),ROUND(F98*I98,0),"")</f>
        <v/>
      </c>
      <c r="K98" s="9">
        <f>IF(I98="","",IF(I98&lt;=4,"Leve",IF(I98&lt;=6,"Moderado",IF(I98&lt;=8,"Intenso","Muito Intenso"))))</f>
        <v/>
      </c>
      <c r="L98" s="9">
        <f>IF(J98="","",IF(J98&gt;800,"CRÍTICO",IF(J98&gt;600,"ATENÇÃO","OK")))</f>
        <v/>
      </c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>
        <f>IF(AND(AC98&lt;&gt;"",AD98&lt;&gt;""),AC98+AD98,"")</f>
        <v/>
      </c>
      <c r="AI98" s="9" t="n"/>
      <c r="AJ98" s="9" t="n"/>
      <c r="AK98" s="9" t="n"/>
      <c r="AL98" s="9" t="n"/>
      <c r="AM98" s="9" t="n"/>
    </row>
    <row r="99" ht="18" customHeight="1">
      <c r="A99" s="10" t="n"/>
      <c r="B99" s="10" t="n"/>
      <c r="C99" s="10" t="n"/>
      <c r="D99" s="10" t="n"/>
      <c r="E99" s="10" t="n"/>
      <c r="F99" s="10" t="n"/>
      <c r="G99" s="10" t="n"/>
      <c r="H99" s="10">
        <f>IF(AND(E99&lt;&gt;"",F99&lt;&gt;""),ROUND(E99/F99,1),"")</f>
        <v/>
      </c>
      <c r="I99" s="10" t="n"/>
      <c r="J99" s="10">
        <f>IF(AND(F99&lt;&gt;"",I99&lt;&gt;""),ROUND(F99*I99,0),"")</f>
        <v/>
      </c>
      <c r="K99" s="10">
        <f>IF(I99="","",IF(I99&lt;=4,"Leve",IF(I99&lt;=6,"Moderado",IF(I99&lt;=8,"Intenso","Muito Intenso"))))</f>
        <v/>
      </c>
      <c r="L99" s="10">
        <f>IF(J99="","",IF(J99&gt;800,"CRÍTICO",IF(J99&gt;600,"ATENÇÃO","OK")))</f>
        <v/>
      </c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s="10" t="n"/>
      <c r="W99" s="10" t="n"/>
      <c r="X99" s="10" t="n"/>
      <c r="Y99" s="10" t="n"/>
      <c r="Z99" s="10" t="n"/>
      <c r="AA99" s="10" t="n"/>
      <c r="AB99" s="10" t="n"/>
      <c r="AC99" s="10" t="n"/>
      <c r="AD99" s="10" t="n"/>
      <c r="AE99" s="10" t="n"/>
      <c r="AF99" s="10" t="n"/>
      <c r="AG99" s="10" t="n"/>
      <c r="AH99" s="10">
        <f>IF(AND(AC99&lt;&gt;"",AD99&lt;&gt;""),AC99+AD99,"")</f>
        <v/>
      </c>
      <c r="AI99" s="10" t="n"/>
      <c r="AJ99" s="10" t="n"/>
      <c r="AK99" s="10" t="n"/>
      <c r="AL99" s="10" t="n"/>
      <c r="AM99" s="10" t="n"/>
    </row>
    <row r="100" ht="18" customHeight="1">
      <c r="A100" s="9" t="n"/>
      <c r="B100" s="9" t="n"/>
      <c r="C100" s="9" t="n"/>
      <c r="D100" s="9" t="n"/>
      <c r="E100" s="9" t="n"/>
      <c r="F100" s="9" t="n"/>
      <c r="G100" s="9" t="n"/>
      <c r="H100" s="9">
        <f>IF(AND(E100&lt;&gt;"",F100&lt;&gt;""),ROUND(E100/F100,1),"")</f>
        <v/>
      </c>
      <c r="I100" s="9" t="n"/>
      <c r="J100" s="9">
        <f>IF(AND(F100&lt;&gt;"",I100&lt;&gt;""),ROUND(F100*I100,0),"")</f>
        <v/>
      </c>
      <c r="K100" s="9">
        <f>IF(I100="","",IF(I100&lt;=4,"Leve",IF(I100&lt;=6,"Moderado",IF(I100&lt;=8,"Intenso","Muito Intenso"))))</f>
        <v/>
      </c>
      <c r="L100" s="9">
        <f>IF(J100="","",IF(J100&gt;800,"CRÍTICO",IF(J100&gt;600,"ATENÇÃO","OK")))</f>
        <v/>
      </c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>
        <f>IF(AND(AC100&lt;&gt;"",AD100&lt;&gt;""),AC100+AD100,"")</f>
        <v/>
      </c>
      <c r="AI100" s="9" t="n"/>
      <c r="AJ100" s="9" t="n"/>
      <c r="AK100" s="9" t="n"/>
      <c r="AL100" s="9" t="n"/>
      <c r="AM100" s="9" t="n"/>
    </row>
    <row r="101" ht="18" customHeight="1">
      <c r="A101" s="10" t="n"/>
      <c r="B101" s="10" t="n"/>
      <c r="C101" s="10" t="n"/>
      <c r="D101" s="10" t="n"/>
      <c r="E101" s="10" t="n"/>
      <c r="F101" s="10" t="n"/>
      <c r="G101" s="10" t="n"/>
      <c r="H101" s="10">
        <f>IF(AND(E101&lt;&gt;"",F101&lt;&gt;""),ROUND(E101/F101,1),"")</f>
        <v/>
      </c>
      <c r="I101" s="10" t="n"/>
      <c r="J101" s="10">
        <f>IF(AND(F101&lt;&gt;"",I101&lt;&gt;""),ROUND(F101*I101,0),"")</f>
        <v/>
      </c>
      <c r="K101" s="10">
        <f>IF(I101="","",IF(I101&lt;=4,"Leve",IF(I101&lt;=6,"Moderado",IF(I101&lt;=8,"Intenso","Muito Intenso"))))</f>
        <v/>
      </c>
      <c r="L101" s="10">
        <f>IF(J101="","",IF(J101&gt;800,"CRÍTICO",IF(J101&gt;600,"ATENÇÃO","OK")))</f>
        <v/>
      </c>
      <c r="M101" s="10" t="n"/>
      <c r="N101" s="10" t="n"/>
      <c r="O101" s="10" t="n"/>
      <c r="P101" s="10" t="n"/>
      <c r="Q101" s="10" t="n"/>
      <c r="R101" s="10" t="n"/>
      <c r="S101" s="10" t="n"/>
      <c r="T101" s="10" t="n"/>
      <c r="U101" s="10" t="n"/>
      <c r="V101" s="10" t="n"/>
      <c r="W101" s="10" t="n"/>
      <c r="X101" s="10" t="n"/>
      <c r="Y101" s="10" t="n"/>
      <c r="Z101" s="10" t="n"/>
      <c r="AA101" s="10" t="n"/>
      <c r="AB101" s="10" t="n"/>
      <c r="AC101" s="10" t="n"/>
      <c r="AD101" s="10" t="n"/>
      <c r="AE101" s="10" t="n"/>
      <c r="AF101" s="10" t="n"/>
      <c r="AG101" s="10" t="n"/>
      <c r="AH101" s="10">
        <f>IF(AND(AC101&lt;&gt;"",AD101&lt;&gt;""),AC101+AD101,"")</f>
        <v/>
      </c>
      <c r="AI101" s="10" t="n"/>
      <c r="AJ101" s="10" t="n"/>
      <c r="AK101" s="10" t="n"/>
      <c r="AL101" s="10" t="n"/>
      <c r="AM101" s="10" t="n"/>
    </row>
    <row r="102" ht="18" customHeight="1">
      <c r="A102" s="9" t="n"/>
      <c r="B102" s="9" t="n"/>
      <c r="C102" s="9" t="n"/>
      <c r="D102" s="9" t="n"/>
      <c r="E102" s="9" t="n"/>
      <c r="F102" s="9" t="n"/>
      <c r="G102" s="9" t="n"/>
      <c r="H102" s="9">
        <f>IF(AND(E102&lt;&gt;"",F102&lt;&gt;""),ROUND(E102/F102,1),"")</f>
        <v/>
      </c>
      <c r="I102" s="9" t="n"/>
      <c r="J102" s="9">
        <f>IF(AND(F102&lt;&gt;"",I102&lt;&gt;""),ROUND(F102*I102,0),"")</f>
        <v/>
      </c>
      <c r="K102" s="9">
        <f>IF(I102="","",IF(I102&lt;=4,"Leve",IF(I102&lt;=6,"Moderado",IF(I102&lt;=8,"Intenso","Muito Intenso"))))</f>
        <v/>
      </c>
      <c r="L102" s="9">
        <f>IF(J102="","",IF(J102&gt;800,"CRÍTICO",IF(J102&gt;600,"ATENÇÃO","OK")))</f>
        <v/>
      </c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>
        <f>IF(AND(AC102&lt;&gt;"",AD102&lt;&gt;""),AC102+AD102,"")</f>
        <v/>
      </c>
      <c r="AI102" s="9" t="n"/>
      <c r="AJ102" s="9" t="n"/>
      <c r="AK102" s="9" t="n"/>
      <c r="AL102" s="9" t="n"/>
      <c r="AM102" s="9" t="n"/>
    </row>
    <row r="103" ht="18" customHeight="1">
      <c r="A103" s="10" t="n"/>
      <c r="B103" s="10" t="n"/>
      <c r="C103" s="10" t="n"/>
      <c r="D103" s="10" t="n"/>
      <c r="E103" s="10" t="n"/>
      <c r="F103" s="10" t="n"/>
      <c r="G103" s="10" t="n"/>
      <c r="H103" s="10">
        <f>IF(AND(E103&lt;&gt;"",F103&lt;&gt;""),ROUND(E103/F103,1),"")</f>
        <v/>
      </c>
      <c r="I103" s="10" t="n"/>
      <c r="J103" s="10">
        <f>IF(AND(F103&lt;&gt;"",I103&lt;&gt;""),ROUND(F103*I103,0),"")</f>
        <v/>
      </c>
      <c r="K103" s="10">
        <f>IF(I103="","",IF(I103&lt;=4,"Leve",IF(I103&lt;=6,"Moderado",IF(I103&lt;=8,"Intenso","Muito Intenso"))))</f>
        <v/>
      </c>
      <c r="L103" s="10">
        <f>IF(J103="","",IF(J103&gt;800,"CRÍTICO",IF(J103&gt;600,"ATENÇÃO","OK")))</f>
        <v/>
      </c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s="10" t="n"/>
      <c r="W103" s="10" t="n"/>
      <c r="X103" s="10" t="n"/>
      <c r="Y103" s="10" t="n"/>
      <c r="Z103" s="10" t="n"/>
      <c r="AA103" s="10" t="n"/>
      <c r="AB103" s="10" t="n"/>
      <c r="AC103" s="10" t="n"/>
      <c r="AD103" s="10" t="n"/>
      <c r="AE103" s="10" t="n"/>
      <c r="AF103" s="10" t="n"/>
      <c r="AG103" s="10" t="n"/>
      <c r="AH103" s="10">
        <f>IF(AND(AC103&lt;&gt;"",AD103&lt;&gt;""),AC103+AD103,"")</f>
        <v/>
      </c>
      <c r="AI103" s="10" t="n"/>
      <c r="AJ103" s="10" t="n"/>
      <c r="AK103" s="10" t="n"/>
      <c r="AL103" s="10" t="n"/>
      <c r="AM103" s="10" t="n"/>
    </row>
  </sheetData>
  <mergeCells count="8">
    <mergeCell ref="M2:R2"/>
    <mergeCell ref="A1:AM1"/>
    <mergeCell ref="AD2:AL2"/>
    <mergeCell ref="S2:AC2"/>
    <mergeCell ref="AM2"/>
    <mergeCell ref="A2:D2"/>
    <mergeCell ref="I2:L2"/>
    <mergeCell ref="E2:H2"/>
  </mergeCells>
  <conditionalFormatting sqref="I4:I103">
    <cfRule type="cellIs" priority="1" operator="lessThanOrEqual" dxfId="0">
      <formula>4</formula>
    </cfRule>
    <cfRule type="cellIs" priority="2" operator="between" dxfId="1">
      <formula>4</formula>
      <formula>7</formula>
    </cfRule>
    <cfRule type="cellIs" priority="3" operator="greaterThan" dxfId="2">
      <formula>7</formula>
    </cfRule>
  </conditionalFormatting>
  <conditionalFormatting sqref="K4:K103">
    <cfRule type="cellIs" priority="4" operator="equal" dxfId="0">
      <formula>"Leve"</formula>
    </cfRule>
    <cfRule type="cellIs" priority="5" operator="equal" dxfId="1">
      <formula>"Moderado"</formula>
    </cfRule>
    <cfRule type="cellIs" priority="6" operator="equal" dxfId="3">
      <formula>"Intenso"</formula>
    </cfRule>
    <cfRule type="cellIs" priority="7" operator="equal" dxfId="2">
      <formula>"Muito Intenso"</formula>
    </cfRule>
  </conditionalFormatting>
  <conditionalFormatting sqref="L4:L103">
    <cfRule type="cellIs" priority="8" operator="equal" dxfId="0">
      <formula>"OK"</formula>
    </cfRule>
    <cfRule type="cellIs" priority="9" operator="equal" dxfId="1">
      <formula>"ATENÇÃO"</formula>
    </cfRule>
    <cfRule type="cellIs" priority="10" operator="equal" dxfId="2">
      <formula>"CRÍTICO"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  <col width="12" customWidth="1" min="15" max="15"/>
    <col width="14" customWidth="1" min="16" max="16"/>
  </cols>
  <sheetData>
    <row r="1" ht="34" customHeight="1">
      <c r="A1" s="1" t="inlineStr">
        <is>
          <t>NICHOLAS — BEM-ESTAR E PRONTIDÃO AO TREINO  |  Registro Diário</t>
        </is>
      </c>
    </row>
    <row r="2" ht="22" customHeight="1">
      <c r="A2" s="2" t="inlineStr">
        <is>
          <t>Identificação</t>
        </is>
      </c>
      <c r="C2" s="3" t="inlineStr">
        <is>
          <t>Bem-estar (1=muito ruim → 5=excelente)</t>
        </is>
      </c>
      <c r="H2" s="4" t="inlineStr">
        <is>
          <t>Dor (0=sem → 3=forte)</t>
        </is>
      </c>
      <c r="N2" s="3" t="inlineStr">
        <is>
          <t>Índices derivados</t>
        </is>
      </c>
    </row>
    <row r="3" ht="34" customHeight="1">
      <c r="A3" s="8" t="inlineStr">
        <is>
          <t>Data</t>
        </is>
      </c>
      <c r="B3" s="8" t="inlineStr">
        <is>
          <t>Dia</t>
        </is>
      </c>
      <c r="C3" s="8" t="inlineStr">
        <is>
          <t>Sono</t>
        </is>
      </c>
      <c r="D3" s="8" t="inlineStr">
        <is>
          <t>Humor</t>
        </is>
      </c>
      <c r="E3" s="8" t="inlineStr">
        <is>
          <t>Fadiga</t>
        </is>
      </c>
      <c r="F3" s="8" t="inlineStr">
        <is>
          <t>Apetite</t>
        </is>
      </c>
      <c r="G3" s="8" t="inlineStr">
        <is>
          <t>Recuperação</t>
        </is>
      </c>
      <c r="H3" s="8" t="inlineStr">
        <is>
          <t>Joelho</t>
        </is>
      </c>
      <c r="I3" s="8" t="inlineStr">
        <is>
          <t>Lombar</t>
        </is>
      </c>
      <c r="J3" s="8" t="inlineStr">
        <is>
          <t>Ombro</t>
        </is>
      </c>
      <c r="K3" s="8" t="inlineStr">
        <is>
          <t>Pescoço</t>
        </is>
      </c>
      <c r="L3" s="8" t="inlineStr">
        <is>
          <t>Punho</t>
        </is>
      </c>
      <c r="M3" s="8" t="inlineStr">
        <is>
          <t>Tornoz.</t>
        </is>
      </c>
      <c r="N3" s="8" t="inlineStr">
        <is>
          <t>Prontidão
(1-10)</t>
        </is>
      </c>
      <c r="O3" s="8" t="inlineStr">
        <is>
          <t>Score
Bem-Estar</t>
        </is>
      </c>
      <c r="P3" s="8" t="inlineStr">
        <is>
          <t>Status</t>
        </is>
      </c>
    </row>
    <row r="4" ht="18" customHeight="1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>
        <f>IF(COUNTA(C4:G4)=5,ROUND(AVERAGE(C4:G4),1),"")</f>
        <v/>
      </c>
      <c r="P4" s="9">
        <f>IF(O4="","",IF(O4&gt;=4,"Ótimo",IF(O4&gt;=3,"Bom",IF(O4&gt;=2,"Moderado","Mal Recuperado"))))</f>
        <v/>
      </c>
    </row>
    <row r="5" ht="18" customHeight="1">
      <c r="A5" s="10" t="n"/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>
        <f>IF(COUNTA(C5:G5)=5,ROUND(AVERAGE(C5:G5),1),"")</f>
        <v/>
      </c>
      <c r="P5" s="10">
        <f>IF(O5="","",IF(O5&gt;=4,"Ótimo",IF(O5&gt;=3,"Bom",IF(O5&gt;=2,"Moderado","Mal Recuperado"))))</f>
        <v/>
      </c>
    </row>
    <row r="6" ht="18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>
        <f>IF(COUNTA(C6:G6)=5,ROUND(AVERAGE(C6:G6),1),"")</f>
        <v/>
      </c>
      <c r="P6" s="9">
        <f>IF(O6="","",IF(O6&gt;=4,"Ótimo",IF(O6&gt;=3,"Bom",IF(O6&gt;=2,"Moderado","Mal Recuperado"))))</f>
        <v/>
      </c>
    </row>
    <row r="7" ht="18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>
        <f>IF(COUNTA(C7:G7)=5,ROUND(AVERAGE(C7:G7),1),"")</f>
        <v/>
      </c>
      <c r="P7" s="10">
        <f>IF(O7="","",IF(O7&gt;=4,"Ótimo",IF(O7&gt;=3,"Bom",IF(O7&gt;=2,"Moderado","Mal Recuperado"))))</f>
        <v/>
      </c>
    </row>
    <row r="8" ht="18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>
        <f>IF(COUNTA(C8:G8)=5,ROUND(AVERAGE(C8:G8),1),"")</f>
        <v/>
      </c>
      <c r="P8" s="9">
        <f>IF(O8="","",IF(O8&gt;=4,"Ótimo",IF(O8&gt;=3,"Bom",IF(O8&gt;=2,"Moderado","Mal Recuperado"))))</f>
        <v/>
      </c>
    </row>
    <row r="9" ht="18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>
        <f>IF(COUNTA(C9:G9)=5,ROUND(AVERAGE(C9:G9),1),"")</f>
        <v/>
      </c>
      <c r="P9" s="10">
        <f>IF(O9="","",IF(O9&gt;=4,"Ótimo",IF(O9&gt;=3,"Bom",IF(O9&gt;=2,"Moderado","Mal Recuperado"))))</f>
        <v/>
      </c>
    </row>
    <row r="10" ht="18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>
        <f>IF(COUNTA(C10:G10)=5,ROUND(AVERAGE(C10:G10),1),"")</f>
        <v/>
      </c>
      <c r="P10" s="9">
        <f>IF(O10="","",IF(O10&gt;=4,"Ótimo",IF(O10&gt;=3,"Bom",IF(O10&gt;=2,"Moderado","Mal Recuperado"))))</f>
        <v/>
      </c>
    </row>
    <row r="11" ht="18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>
        <f>IF(COUNTA(C11:G11)=5,ROUND(AVERAGE(C11:G11),1),"")</f>
        <v/>
      </c>
      <c r="P11" s="10">
        <f>IF(O11="","",IF(O11&gt;=4,"Ótimo",IF(O11&gt;=3,"Bom",IF(O11&gt;=2,"Moderado","Mal Recuperado"))))</f>
        <v/>
      </c>
    </row>
    <row r="12" ht="18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>
        <f>IF(COUNTA(C12:G12)=5,ROUND(AVERAGE(C12:G12),1),"")</f>
        <v/>
      </c>
      <c r="P12" s="9">
        <f>IF(O12="","",IF(O12&gt;=4,"Ótimo",IF(O12&gt;=3,"Bom",IF(O12&gt;=2,"Moderado","Mal Recuperado"))))</f>
        <v/>
      </c>
    </row>
    <row r="13" ht="18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>
        <f>IF(COUNTA(C13:G13)=5,ROUND(AVERAGE(C13:G13),1),"")</f>
        <v/>
      </c>
      <c r="P13" s="10">
        <f>IF(O13="","",IF(O13&gt;=4,"Ótimo",IF(O13&gt;=3,"Bom",IF(O13&gt;=2,"Moderado","Mal Recuperado"))))</f>
        <v/>
      </c>
    </row>
    <row r="14" ht="18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>
        <f>IF(COUNTA(C14:G14)=5,ROUND(AVERAGE(C14:G14),1),"")</f>
        <v/>
      </c>
      <c r="P14" s="9">
        <f>IF(O14="","",IF(O14&gt;=4,"Ótimo",IF(O14&gt;=3,"Bom",IF(O14&gt;=2,"Moderado","Mal Recuperado"))))</f>
        <v/>
      </c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>
        <f>IF(COUNTA(C15:G15)=5,ROUND(AVERAGE(C15:G15),1),"")</f>
        <v/>
      </c>
      <c r="P15" s="10">
        <f>IF(O15="","",IF(O15&gt;=4,"Ótimo",IF(O15&gt;=3,"Bom",IF(O15&gt;=2,"Moderado","Mal Recuperado"))))</f>
        <v/>
      </c>
    </row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>
        <f>IF(COUNTA(C16:G16)=5,ROUND(AVERAGE(C16:G16),1),"")</f>
        <v/>
      </c>
      <c r="P16" s="9">
        <f>IF(O16="","",IF(O16&gt;=4,"Ótimo",IF(O16&gt;=3,"Bom",IF(O16&gt;=2,"Moderado","Mal Recuperado"))))</f>
        <v/>
      </c>
    </row>
    <row r="17" ht="18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>
        <f>IF(COUNTA(C17:G17)=5,ROUND(AVERAGE(C17:G17),1),"")</f>
        <v/>
      </c>
      <c r="P17" s="10">
        <f>IF(O17="","",IF(O17&gt;=4,"Ótimo",IF(O17&gt;=3,"Bom",IF(O17&gt;=2,"Moderado","Mal Recuperado"))))</f>
        <v/>
      </c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>
        <f>IF(COUNTA(C18:G18)=5,ROUND(AVERAGE(C18:G18),1),"")</f>
        <v/>
      </c>
      <c r="P18" s="9">
        <f>IF(O18="","",IF(O18&gt;=4,"Ótimo",IF(O18&gt;=3,"Bom",IF(O18&gt;=2,"Moderado","Mal Recuperado"))))</f>
        <v/>
      </c>
    </row>
    <row r="19" ht="18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>
        <f>IF(COUNTA(C19:G19)=5,ROUND(AVERAGE(C19:G19),1),"")</f>
        <v/>
      </c>
      <c r="P19" s="10">
        <f>IF(O19="","",IF(O19&gt;=4,"Ótimo",IF(O19&gt;=3,"Bom",IF(O19&gt;=2,"Moderado","Mal Recuperado"))))</f>
        <v/>
      </c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>
        <f>IF(COUNTA(C20:G20)=5,ROUND(AVERAGE(C20:G20),1),"")</f>
        <v/>
      </c>
      <c r="P20" s="9">
        <f>IF(O20="","",IF(O20&gt;=4,"Ótimo",IF(O20&gt;=3,"Bom",IF(O20&gt;=2,"Moderado","Mal Recuperado"))))</f>
        <v/>
      </c>
    </row>
    <row r="21" ht="18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>
        <f>IF(COUNTA(C21:G21)=5,ROUND(AVERAGE(C21:G21),1),"")</f>
        <v/>
      </c>
      <c r="P21" s="10">
        <f>IF(O21="","",IF(O21&gt;=4,"Ótimo",IF(O21&gt;=3,"Bom",IF(O21&gt;=2,"Moderado","Mal Recuperado"))))</f>
        <v/>
      </c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>
        <f>IF(COUNTA(C22:G22)=5,ROUND(AVERAGE(C22:G22),1),"")</f>
        <v/>
      </c>
      <c r="P22" s="9">
        <f>IF(O22="","",IF(O22&gt;=4,"Ótimo",IF(O22&gt;=3,"Bom",IF(O22&gt;=2,"Moderado","Mal Recuperado"))))</f>
        <v/>
      </c>
    </row>
    <row r="23" ht="1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>
        <f>IF(COUNTA(C23:G23)=5,ROUND(AVERAGE(C23:G23),1),"")</f>
        <v/>
      </c>
      <c r="P23" s="10">
        <f>IF(O23="","",IF(O23&gt;=4,"Ótimo",IF(O23&gt;=3,"Bom",IF(O23&gt;=2,"Moderado","Mal Recuperado"))))</f>
        <v/>
      </c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>
        <f>IF(COUNTA(C24:G24)=5,ROUND(AVERAGE(C24:G24),1),"")</f>
        <v/>
      </c>
      <c r="P24" s="9">
        <f>IF(O24="","",IF(O24&gt;=4,"Ótimo",IF(O24&gt;=3,"Bom",IF(O24&gt;=2,"Moderado","Mal Recuperado"))))</f>
        <v/>
      </c>
    </row>
    <row r="25" ht="1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>
        <f>IF(COUNTA(C25:G25)=5,ROUND(AVERAGE(C25:G25),1),"")</f>
        <v/>
      </c>
      <c r="P25" s="10">
        <f>IF(O25="","",IF(O25&gt;=4,"Ótimo",IF(O25&gt;=3,"Bom",IF(O25&gt;=2,"Moderado","Mal Recuperado"))))</f>
        <v/>
      </c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>
        <f>IF(COUNTA(C26:G26)=5,ROUND(AVERAGE(C26:G26),1),"")</f>
        <v/>
      </c>
      <c r="P26" s="9">
        <f>IF(O26="","",IF(O26&gt;=4,"Ótimo",IF(O26&gt;=3,"Bom",IF(O26&gt;=2,"Moderado","Mal Recuperado"))))</f>
        <v/>
      </c>
    </row>
    <row r="27" ht="1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>
        <f>IF(COUNTA(C27:G27)=5,ROUND(AVERAGE(C27:G27),1),"")</f>
        <v/>
      </c>
      <c r="P27" s="10">
        <f>IF(O27="","",IF(O27&gt;=4,"Ótimo",IF(O27&gt;=3,"Bom",IF(O27&gt;=2,"Moderado","Mal Recuperado"))))</f>
        <v/>
      </c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>
        <f>IF(COUNTA(C28:G28)=5,ROUND(AVERAGE(C28:G28),1),"")</f>
        <v/>
      </c>
      <c r="P28" s="9">
        <f>IF(O28="","",IF(O28&gt;=4,"Ótimo",IF(O28&gt;=3,"Bom",IF(O28&gt;=2,"Moderado","Mal Recuperado"))))</f>
        <v/>
      </c>
    </row>
    <row r="29" ht="1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>
        <f>IF(COUNTA(C29:G29)=5,ROUND(AVERAGE(C29:G29),1),"")</f>
        <v/>
      </c>
      <c r="P29" s="10">
        <f>IF(O29="","",IF(O29&gt;=4,"Ótimo",IF(O29&gt;=3,"Bom",IF(O29&gt;=2,"Moderado","Mal Recuperado"))))</f>
        <v/>
      </c>
    </row>
    <row r="30" ht="18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>
        <f>IF(COUNTA(C30:G30)=5,ROUND(AVERAGE(C30:G30),1),"")</f>
        <v/>
      </c>
      <c r="P30" s="9">
        <f>IF(O30="","",IF(O30&gt;=4,"Ótimo",IF(O30&gt;=3,"Bom",IF(O30&gt;=2,"Moderado","Mal Recuperado"))))</f>
        <v/>
      </c>
    </row>
    <row r="31" ht="18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>
        <f>IF(COUNTA(C31:G31)=5,ROUND(AVERAGE(C31:G31),1),"")</f>
        <v/>
      </c>
      <c r="P31" s="10">
        <f>IF(O31="","",IF(O31&gt;=4,"Ótimo",IF(O31&gt;=3,"Bom",IF(O31&gt;=2,"Moderado","Mal Recuperado"))))</f>
        <v/>
      </c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>
        <f>IF(COUNTA(C32:G32)=5,ROUND(AVERAGE(C32:G32),1),"")</f>
        <v/>
      </c>
      <c r="P32" s="9">
        <f>IF(O32="","",IF(O32&gt;=4,"Ótimo",IF(O32&gt;=3,"Bom",IF(O32&gt;=2,"Moderado","Mal Recuperado"))))</f>
        <v/>
      </c>
    </row>
    <row r="33" ht="18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>
        <f>IF(COUNTA(C33:G33)=5,ROUND(AVERAGE(C33:G33),1),"")</f>
        <v/>
      </c>
      <c r="P33" s="10">
        <f>IF(O33="","",IF(O33&gt;=4,"Ótimo",IF(O33&gt;=3,"Bom",IF(O33&gt;=2,"Moderado","Mal Recuperado"))))</f>
        <v/>
      </c>
    </row>
    <row r="34" ht="18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>
        <f>IF(COUNTA(C34:G34)=5,ROUND(AVERAGE(C34:G34),1),"")</f>
        <v/>
      </c>
      <c r="P34" s="9">
        <f>IF(O34="","",IF(O34&gt;=4,"Ótimo",IF(O34&gt;=3,"Bom",IF(O34&gt;=2,"Moderado","Mal Recuperado"))))</f>
        <v/>
      </c>
    </row>
    <row r="35" ht="18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>
        <f>IF(COUNTA(C35:G35)=5,ROUND(AVERAGE(C35:G35),1),"")</f>
        <v/>
      </c>
      <c r="P35" s="10">
        <f>IF(O35="","",IF(O35&gt;=4,"Ótimo",IF(O35&gt;=3,"Bom",IF(O35&gt;=2,"Moderado","Mal Recuperado"))))</f>
        <v/>
      </c>
    </row>
    <row r="36" ht="18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>
        <f>IF(COUNTA(C36:G36)=5,ROUND(AVERAGE(C36:G36),1),"")</f>
        <v/>
      </c>
      <c r="P36" s="9">
        <f>IF(O36="","",IF(O36&gt;=4,"Ótimo",IF(O36&gt;=3,"Bom",IF(O36&gt;=2,"Moderado","Mal Recuperado"))))</f>
        <v/>
      </c>
    </row>
    <row r="37" ht="18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>
        <f>IF(COUNTA(C37:G37)=5,ROUND(AVERAGE(C37:G37),1),"")</f>
        <v/>
      </c>
      <c r="P37" s="10">
        <f>IF(O37="","",IF(O37&gt;=4,"Ótimo",IF(O37&gt;=3,"Bom",IF(O37&gt;=2,"Moderado","Mal Recuperado"))))</f>
        <v/>
      </c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>
        <f>IF(COUNTA(C38:G38)=5,ROUND(AVERAGE(C38:G38),1),"")</f>
        <v/>
      </c>
      <c r="P38" s="9">
        <f>IF(O38="","",IF(O38&gt;=4,"Ótimo",IF(O38&gt;=3,"Bom",IF(O38&gt;=2,"Moderado","Mal Recuperado"))))</f>
        <v/>
      </c>
    </row>
    <row r="39" ht="18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>
        <f>IF(COUNTA(C39:G39)=5,ROUND(AVERAGE(C39:G39),1),"")</f>
        <v/>
      </c>
      <c r="P39" s="10">
        <f>IF(O39="","",IF(O39&gt;=4,"Ótimo",IF(O39&gt;=3,"Bom",IF(O39&gt;=2,"Moderado","Mal Recuperado"))))</f>
        <v/>
      </c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>
        <f>IF(COUNTA(C40:G40)=5,ROUND(AVERAGE(C40:G40),1),"")</f>
        <v/>
      </c>
      <c r="P40" s="9">
        <f>IF(O40="","",IF(O40&gt;=4,"Ótimo",IF(O40&gt;=3,"Bom",IF(O40&gt;=2,"Moderado","Mal Recuperado"))))</f>
        <v/>
      </c>
    </row>
    <row r="41" ht="18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>
        <f>IF(COUNTA(C41:G41)=5,ROUND(AVERAGE(C41:G41),1),"")</f>
        <v/>
      </c>
      <c r="P41" s="10">
        <f>IF(O41="","",IF(O41&gt;=4,"Ótimo",IF(O41&gt;=3,"Bom",IF(O41&gt;=2,"Moderado","Mal Recuperado"))))</f>
        <v/>
      </c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>
        <f>IF(COUNTA(C42:G42)=5,ROUND(AVERAGE(C42:G42),1),"")</f>
        <v/>
      </c>
      <c r="P42" s="9">
        <f>IF(O42="","",IF(O42&gt;=4,"Ótimo",IF(O42&gt;=3,"Bom",IF(O42&gt;=2,"Moderado","Mal Recuperado"))))</f>
        <v/>
      </c>
    </row>
    <row r="43" ht="18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>
        <f>IF(COUNTA(C43:G43)=5,ROUND(AVERAGE(C43:G43),1),"")</f>
        <v/>
      </c>
      <c r="P43" s="10">
        <f>IF(O43="","",IF(O43&gt;=4,"Ótimo",IF(O43&gt;=3,"Bom",IF(O43&gt;=2,"Moderado","Mal Recuperado"))))</f>
        <v/>
      </c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>
        <f>IF(COUNTA(C44:G44)=5,ROUND(AVERAGE(C44:G44),1),"")</f>
        <v/>
      </c>
      <c r="P44" s="9">
        <f>IF(O44="","",IF(O44&gt;=4,"Ótimo",IF(O44&gt;=3,"Bom",IF(O44&gt;=2,"Moderado","Mal Recuperado"))))</f>
        <v/>
      </c>
    </row>
    <row r="45" ht="18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>
        <f>IF(COUNTA(C45:G45)=5,ROUND(AVERAGE(C45:G45),1),"")</f>
        <v/>
      </c>
      <c r="P45" s="10">
        <f>IF(O45="","",IF(O45&gt;=4,"Ótimo",IF(O45&gt;=3,"Bom",IF(O45&gt;=2,"Moderado","Mal Recuperado"))))</f>
        <v/>
      </c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>
        <f>IF(COUNTA(C46:G46)=5,ROUND(AVERAGE(C46:G46),1),"")</f>
        <v/>
      </c>
      <c r="P46" s="9">
        <f>IF(O46="","",IF(O46&gt;=4,"Ótimo",IF(O46&gt;=3,"Bom",IF(O46&gt;=2,"Moderado","Mal Recuperado"))))</f>
        <v/>
      </c>
    </row>
    <row r="47" ht="18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>
        <f>IF(COUNTA(C47:G47)=5,ROUND(AVERAGE(C47:G47),1),"")</f>
        <v/>
      </c>
      <c r="P47" s="10">
        <f>IF(O47="","",IF(O47&gt;=4,"Ótimo",IF(O47&gt;=3,"Bom",IF(O47&gt;=2,"Moderado","Mal Recuperado"))))</f>
        <v/>
      </c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>
        <f>IF(COUNTA(C48:G48)=5,ROUND(AVERAGE(C48:G48),1),"")</f>
        <v/>
      </c>
      <c r="P48" s="9">
        <f>IF(O48="","",IF(O48&gt;=4,"Ótimo",IF(O48&gt;=3,"Bom",IF(O48&gt;=2,"Moderado","Mal Recuperado"))))</f>
        <v/>
      </c>
    </row>
    <row r="49" ht="18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>
        <f>IF(COUNTA(C49:G49)=5,ROUND(AVERAGE(C49:G49),1),"")</f>
        <v/>
      </c>
      <c r="P49" s="10">
        <f>IF(O49="","",IF(O49&gt;=4,"Ótimo",IF(O49&gt;=3,"Bom",IF(O49&gt;=2,"Moderado","Mal Recuperado"))))</f>
        <v/>
      </c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>
        <f>IF(COUNTA(C50:G50)=5,ROUND(AVERAGE(C50:G50),1),"")</f>
        <v/>
      </c>
      <c r="P50" s="9">
        <f>IF(O50="","",IF(O50&gt;=4,"Ótimo",IF(O50&gt;=3,"Bom",IF(O50&gt;=2,"Moderado","Mal Recuperado"))))</f>
        <v/>
      </c>
    </row>
    <row r="51" ht="18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>
        <f>IF(COUNTA(C51:G51)=5,ROUND(AVERAGE(C51:G51),1),"")</f>
        <v/>
      </c>
      <c r="P51" s="10">
        <f>IF(O51="","",IF(O51&gt;=4,"Ótimo",IF(O51&gt;=3,"Bom",IF(O51&gt;=2,"Moderado","Mal Recuperado"))))</f>
        <v/>
      </c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>
        <f>IF(COUNTA(C52:G52)=5,ROUND(AVERAGE(C52:G52),1),"")</f>
        <v/>
      </c>
      <c r="P52" s="9">
        <f>IF(O52="","",IF(O52&gt;=4,"Ótimo",IF(O52&gt;=3,"Bom",IF(O52&gt;=2,"Moderado","Mal Recuperado"))))</f>
        <v/>
      </c>
    </row>
    <row r="53" ht="18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>
        <f>IF(COUNTA(C53:G53)=5,ROUND(AVERAGE(C53:G53),1),"")</f>
        <v/>
      </c>
      <c r="P53" s="10">
        <f>IF(O53="","",IF(O53&gt;=4,"Ótimo",IF(O53&gt;=3,"Bom",IF(O53&gt;=2,"Moderado","Mal Recuperado"))))</f>
        <v/>
      </c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>
        <f>IF(COUNTA(C54:G54)=5,ROUND(AVERAGE(C54:G54),1),"")</f>
        <v/>
      </c>
      <c r="P54" s="9">
        <f>IF(O54="","",IF(O54&gt;=4,"Ótimo",IF(O54&gt;=3,"Bom",IF(O54&gt;=2,"Moderado","Mal Recuperado"))))</f>
        <v/>
      </c>
    </row>
    <row r="55" ht="18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>
        <f>IF(COUNTA(C55:G55)=5,ROUND(AVERAGE(C55:G55),1),"")</f>
        <v/>
      </c>
      <c r="P55" s="10">
        <f>IF(O55="","",IF(O55&gt;=4,"Ótimo",IF(O55&gt;=3,"Bom",IF(O55&gt;=2,"Moderado","Mal Recuperado"))))</f>
        <v/>
      </c>
    </row>
    <row r="56" ht="18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>
        <f>IF(COUNTA(C56:G56)=5,ROUND(AVERAGE(C56:G56),1),"")</f>
        <v/>
      </c>
      <c r="P56" s="9">
        <f>IF(O56="","",IF(O56&gt;=4,"Ótimo",IF(O56&gt;=3,"Bom",IF(O56&gt;=2,"Moderado","Mal Recuperado"))))</f>
        <v/>
      </c>
    </row>
    <row r="57" ht="18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>
        <f>IF(COUNTA(C57:G57)=5,ROUND(AVERAGE(C57:G57),1),"")</f>
        <v/>
      </c>
      <c r="P57" s="10">
        <f>IF(O57="","",IF(O57&gt;=4,"Ótimo",IF(O57&gt;=3,"Bom",IF(O57&gt;=2,"Moderado","Mal Recuperado"))))</f>
        <v/>
      </c>
    </row>
    <row r="58" ht="18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>
        <f>IF(COUNTA(C58:G58)=5,ROUND(AVERAGE(C58:G58),1),"")</f>
        <v/>
      </c>
      <c r="P58" s="9">
        <f>IF(O58="","",IF(O58&gt;=4,"Ótimo",IF(O58&gt;=3,"Bom",IF(O58&gt;=2,"Moderado","Mal Recuperado"))))</f>
        <v/>
      </c>
    </row>
    <row r="59" ht="18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 t="n"/>
      <c r="L59" s="10" t="n"/>
      <c r="M59" s="10" t="n"/>
      <c r="N59" s="10" t="n"/>
      <c r="O59" s="10">
        <f>IF(COUNTA(C59:G59)=5,ROUND(AVERAGE(C59:G59),1),"")</f>
        <v/>
      </c>
      <c r="P59" s="10">
        <f>IF(O59="","",IF(O59&gt;=4,"Ótimo",IF(O59&gt;=3,"Bom",IF(O59&gt;=2,"Moderado","Mal Recuperado"))))</f>
        <v/>
      </c>
    </row>
    <row r="60" ht="18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>
        <f>IF(COUNTA(C60:G60)=5,ROUND(AVERAGE(C60:G60),1),"")</f>
        <v/>
      </c>
      <c r="P60" s="9">
        <f>IF(O60="","",IF(O60&gt;=4,"Ótimo",IF(O60&gt;=3,"Bom",IF(O60&gt;=2,"Moderado","Mal Recuperado"))))</f>
        <v/>
      </c>
    </row>
    <row r="61" ht="18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0" t="n"/>
      <c r="M61" s="10" t="n"/>
      <c r="N61" s="10" t="n"/>
      <c r="O61" s="10">
        <f>IF(COUNTA(C61:G61)=5,ROUND(AVERAGE(C61:G61),1),"")</f>
        <v/>
      </c>
      <c r="P61" s="10">
        <f>IF(O61="","",IF(O61&gt;=4,"Ótimo",IF(O61&gt;=3,"Bom",IF(O61&gt;=2,"Moderado","Mal Recuperado"))))</f>
        <v/>
      </c>
    </row>
    <row r="62" ht="18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>
        <f>IF(COUNTA(C62:G62)=5,ROUND(AVERAGE(C62:G62),1),"")</f>
        <v/>
      </c>
      <c r="P62" s="9">
        <f>IF(O62="","",IF(O62&gt;=4,"Ótimo",IF(O62&gt;=3,"Bom",IF(O62&gt;=2,"Moderado","Mal Recuperado"))))</f>
        <v/>
      </c>
    </row>
    <row r="63" ht="18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0" t="n"/>
      <c r="M63" s="10" t="n"/>
      <c r="N63" s="10" t="n"/>
      <c r="O63" s="10">
        <f>IF(COUNTA(C63:G63)=5,ROUND(AVERAGE(C63:G63),1),"")</f>
        <v/>
      </c>
      <c r="P63" s="10">
        <f>IF(O63="","",IF(O63&gt;=4,"Ótimo",IF(O63&gt;=3,"Bom",IF(O63&gt;=2,"Moderado","Mal Recuperado"))))</f>
        <v/>
      </c>
    </row>
    <row r="64" ht="18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>
        <f>IF(COUNTA(C64:G64)=5,ROUND(AVERAGE(C64:G64),1),"")</f>
        <v/>
      </c>
      <c r="P64" s="9">
        <f>IF(O64="","",IF(O64&gt;=4,"Ótimo",IF(O64&gt;=3,"Bom",IF(O64&gt;=2,"Moderado","Mal Recuperado"))))</f>
        <v/>
      </c>
    </row>
    <row r="65" ht="18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>
        <f>IF(COUNTA(C65:G65)=5,ROUND(AVERAGE(C65:G65),1),"")</f>
        <v/>
      </c>
      <c r="P65" s="10">
        <f>IF(O65="","",IF(O65&gt;=4,"Ótimo",IF(O65&gt;=3,"Bom",IF(O65&gt;=2,"Moderado","Mal Recuperado"))))</f>
        <v/>
      </c>
    </row>
    <row r="66" ht="18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>
        <f>IF(COUNTA(C66:G66)=5,ROUND(AVERAGE(C66:G66),1),"")</f>
        <v/>
      </c>
      <c r="P66" s="9">
        <f>IF(O66="","",IF(O66&gt;=4,"Ótimo",IF(O66&gt;=3,"Bom",IF(O66&gt;=2,"Moderado","Mal Recuperado"))))</f>
        <v/>
      </c>
    </row>
    <row r="67" ht="18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>
        <f>IF(COUNTA(C67:G67)=5,ROUND(AVERAGE(C67:G67),1),"")</f>
        <v/>
      </c>
      <c r="P67" s="10">
        <f>IF(O67="","",IF(O67&gt;=4,"Ótimo",IF(O67&gt;=3,"Bom",IF(O67&gt;=2,"Moderado","Mal Recuperado"))))</f>
        <v/>
      </c>
    </row>
    <row r="68" ht="18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>
        <f>IF(COUNTA(C68:G68)=5,ROUND(AVERAGE(C68:G68),1),"")</f>
        <v/>
      </c>
      <c r="P68" s="9">
        <f>IF(O68="","",IF(O68&gt;=4,"Ótimo",IF(O68&gt;=3,"Bom",IF(O68&gt;=2,"Moderado","Mal Recuperado"))))</f>
        <v/>
      </c>
    </row>
    <row r="69" ht="18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>
        <f>IF(COUNTA(C69:G69)=5,ROUND(AVERAGE(C69:G69),1),"")</f>
        <v/>
      </c>
      <c r="P69" s="10">
        <f>IF(O69="","",IF(O69&gt;=4,"Ótimo",IF(O69&gt;=3,"Bom",IF(O69&gt;=2,"Moderado","Mal Recuperado"))))</f>
        <v/>
      </c>
    </row>
    <row r="70" ht="18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>
        <f>IF(COUNTA(C70:G70)=5,ROUND(AVERAGE(C70:G70),1),"")</f>
        <v/>
      </c>
      <c r="P70" s="9">
        <f>IF(O70="","",IF(O70&gt;=4,"Ótimo",IF(O70&gt;=3,"Bom",IF(O70&gt;=2,"Moderado","Mal Recuperado"))))</f>
        <v/>
      </c>
    </row>
    <row r="71" ht="18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>
        <f>IF(COUNTA(C71:G71)=5,ROUND(AVERAGE(C71:G71),1),"")</f>
        <v/>
      </c>
      <c r="P71" s="10">
        <f>IF(O71="","",IF(O71&gt;=4,"Ótimo",IF(O71&gt;=3,"Bom",IF(O71&gt;=2,"Moderado","Mal Recuperado"))))</f>
        <v/>
      </c>
    </row>
    <row r="72" ht="18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>
        <f>IF(COUNTA(C72:G72)=5,ROUND(AVERAGE(C72:G72),1),"")</f>
        <v/>
      </c>
      <c r="P72" s="9">
        <f>IF(O72="","",IF(O72&gt;=4,"Ótimo",IF(O72&gt;=3,"Bom",IF(O72&gt;=2,"Moderado","Mal Recuperado"))))</f>
        <v/>
      </c>
    </row>
    <row r="73" ht="18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>
        <f>IF(COUNTA(C73:G73)=5,ROUND(AVERAGE(C73:G73),1),"")</f>
        <v/>
      </c>
      <c r="P73" s="10">
        <f>IF(O73="","",IF(O73&gt;=4,"Ótimo",IF(O73&gt;=3,"Bom",IF(O73&gt;=2,"Moderado","Mal Recuperado"))))</f>
        <v/>
      </c>
    </row>
    <row r="74" ht="18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>
        <f>IF(COUNTA(C74:G74)=5,ROUND(AVERAGE(C74:G74),1),"")</f>
        <v/>
      </c>
      <c r="P74" s="9">
        <f>IF(O74="","",IF(O74&gt;=4,"Ótimo",IF(O74&gt;=3,"Bom",IF(O74&gt;=2,"Moderado","Mal Recuperado"))))</f>
        <v/>
      </c>
    </row>
    <row r="75" ht="18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>
        <f>IF(COUNTA(C75:G75)=5,ROUND(AVERAGE(C75:G75),1),"")</f>
        <v/>
      </c>
      <c r="P75" s="10">
        <f>IF(O75="","",IF(O75&gt;=4,"Ótimo",IF(O75&gt;=3,"Bom",IF(O75&gt;=2,"Moderado","Mal Recuperado"))))</f>
        <v/>
      </c>
    </row>
    <row r="76" ht="18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>
        <f>IF(COUNTA(C76:G76)=5,ROUND(AVERAGE(C76:G76),1),"")</f>
        <v/>
      </c>
      <c r="P76" s="9">
        <f>IF(O76="","",IF(O76&gt;=4,"Ótimo",IF(O76&gt;=3,"Bom",IF(O76&gt;=2,"Moderado","Mal Recuperado"))))</f>
        <v/>
      </c>
    </row>
    <row r="77" ht="18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>
        <f>IF(COUNTA(C77:G77)=5,ROUND(AVERAGE(C77:G77),1),"")</f>
        <v/>
      </c>
      <c r="P77" s="10">
        <f>IF(O77="","",IF(O77&gt;=4,"Ótimo",IF(O77&gt;=3,"Bom",IF(O77&gt;=2,"Moderado","Mal Recuperado"))))</f>
        <v/>
      </c>
    </row>
    <row r="78" ht="18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>
        <f>IF(COUNTA(C78:G78)=5,ROUND(AVERAGE(C78:G78),1),"")</f>
        <v/>
      </c>
      <c r="P78" s="9">
        <f>IF(O78="","",IF(O78&gt;=4,"Ótimo",IF(O78&gt;=3,"Bom",IF(O78&gt;=2,"Moderado","Mal Recuperado"))))</f>
        <v/>
      </c>
    </row>
    <row r="79" ht="18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>
        <f>IF(COUNTA(C79:G79)=5,ROUND(AVERAGE(C79:G79),1),"")</f>
        <v/>
      </c>
      <c r="P79" s="10">
        <f>IF(O79="","",IF(O79&gt;=4,"Ótimo",IF(O79&gt;=3,"Bom",IF(O79&gt;=2,"Moderado","Mal Recuperado"))))</f>
        <v/>
      </c>
    </row>
    <row r="80" ht="18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>
        <f>IF(COUNTA(C80:G80)=5,ROUND(AVERAGE(C80:G80),1),"")</f>
        <v/>
      </c>
      <c r="P80" s="9">
        <f>IF(O80="","",IF(O80&gt;=4,"Ótimo",IF(O80&gt;=3,"Bom",IF(O80&gt;=2,"Moderado","Mal Recuperado"))))</f>
        <v/>
      </c>
    </row>
    <row r="81" ht="18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>
        <f>IF(COUNTA(C81:G81)=5,ROUND(AVERAGE(C81:G81),1),"")</f>
        <v/>
      </c>
      <c r="P81" s="10">
        <f>IF(O81="","",IF(O81&gt;=4,"Ótimo",IF(O81&gt;=3,"Bom",IF(O81&gt;=2,"Moderado","Mal Recuperado"))))</f>
        <v/>
      </c>
    </row>
    <row r="82" ht="18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>
        <f>IF(COUNTA(C82:G82)=5,ROUND(AVERAGE(C82:G82),1),"")</f>
        <v/>
      </c>
      <c r="P82" s="9">
        <f>IF(O82="","",IF(O82&gt;=4,"Ótimo",IF(O82&gt;=3,"Bom",IF(O82&gt;=2,"Moderado","Mal Recuperado"))))</f>
        <v/>
      </c>
    </row>
    <row r="83" ht="18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>
        <f>IF(COUNTA(C83:G83)=5,ROUND(AVERAGE(C83:G83),1),"")</f>
        <v/>
      </c>
      <c r="P83" s="10">
        <f>IF(O83="","",IF(O83&gt;=4,"Ótimo",IF(O83&gt;=3,"Bom",IF(O83&gt;=2,"Moderado","Mal Recuperado"))))</f>
        <v/>
      </c>
    </row>
    <row r="84" ht="18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>
        <f>IF(COUNTA(C84:G84)=5,ROUND(AVERAGE(C84:G84),1),"")</f>
        <v/>
      </c>
      <c r="P84" s="9">
        <f>IF(O84="","",IF(O84&gt;=4,"Ótimo",IF(O84&gt;=3,"Bom",IF(O84&gt;=2,"Moderado","Mal Recuperado"))))</f>
        <v/>
      </c>
    </row>
    <row r="85" ht="18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>
        <f>IF(COUNTA(C85:G85)=5,ROUND(AVERAGE(C85:G85),1),"")</f>
        <v/>
      </c>
      <c r="P85" s="10">
        <f>IF(O85="","",IF(O85&gt;=4,"Ótimo",IF(O85&gt;=3,"Bom",IF(O85&gt;=2,"Moderado","Mal Recuperado"))))</f>
        <v/>
      </c>
    </row>
    <row r="86" ht="18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>
        <f>IF(COUNTA(C86:G86)=5,ROUND(AVERAGE(C86:G86),1),"")</f>
        <v/>
      </c>
      <c r="P86" s="9">
        <f>IF(O86="","",IF(O86&gt;=4,"Ótimo",IF(O86&gt;=3,"Bom",IF(O86&gt;=2,"Moderado","Mal Recuperado"))))</f>
        <v/>
      </c>
    </row>
    <row r="87" ht="18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>
        <f>IF(COUNTA(C87:G87)=5,ROUND(AVERAGE(C87:G87),1),"")</f>
        <v/>
      </c>
      <c r="P87" s="10">
        <f>IF(O87="","",IF(O87&gt;=4,"Ótimo",IF(O87&gt;=3,"Bom",IF(O87&gt;=2,"Moderado","Mal Recuperado"))))</f>
        <v/>
      </c>
    </row>
    <row r="88" ht="18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>
        <f>IF(COUNTA(C88:G88)=5,ROUND(AVERAGE(C88:G88),1),"")</f>
        <v/>
      </c>
      <c r="P88" s="9">
        <f>IF(O88="","",IF(O88&gt;=4,"Ótimo",IF(O88&gt;=3,"Bom",IF(O88&gt;=2,"Moderado","Mal Recuperado"))))</f>
        <v/>
      </c>
    </row>
    <row r="89" ht="18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>
        <f>IF(COUNTA(C89:G89)=5,ROUND(AVERAGE(C89:G89),1),"")</f>
        <v/>
      </c>
      <c r="P89" s="10">
        <f>IF(O89="","",IF(O89&gt;=4,"Ótimo",IF(O89&gt;=3,"Bom",IF(O89&gt;=2,"Moderado","Mal Recuperado"))))</f>
        <v/>
      </c>
    </row>
    <row r="90" ht="18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>
        <f>IF(COUNTA(C90:G90)=5,ROUND(AVERAGE(C90:G90),1),"")</f>
        <v/>
      </c>
      <c r="P90" s="9">
        <f>IF(O90="","",IF(O90&gt;=4,"Ótimo",IF(O90&gt;=3,"Bom",IF(O90&gt;=2,"Moderado","Mal Recuperado"))))</f>
        <v/>
      </c>
    </row>
    <row r="91" ht="18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>
        <f>IF(COUNTA(C91:G91)=5,ROUND(AVERAGE(C91:G91),1),"")</f>
        <v/>
      </c>
      <c r="P91" s="10">
        <f>IF(O91="","",IF(O91&gt;=4,"Ótimo",IF(O91&gt;=3,"Bom",IF(O91&gt;=2,"Moderado","Mal Recuperado"))))</f>
        <v/>
      </c>
    </row>
    <row r="92" ht="18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>
        <f>IF(COUNTA(C92:G92)=5,ROUND(AVERAGE(C92:G92),1),"")</f>
        <v/>
      </c>
      <c r="P92" s="9">
        <f>IF(O92="","",IF(O92&gt;=4,"Ótimo",IF(O92&gt;=3,"Bom",IF(O92&gt;=2,"Moderado","Mal Recuperado"))))</f>
        <v/>
      </c>
    </row>
    <row r="93" ht="18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>
        <f>IF(COUNTA(C93:G93)=5,ROUND(AVERAGE(C93:G93),1),"")</f>
        <v/>
      </c>
      <c r="P93" s="10">
        <f>IF(O93="","",IF(O93&gt;=4,"Ótimo",IF(O93&gt;=3,"Bom",IF(O93&gt;=2,"Moderado","Mal Recuperado"))))</f>
        <v/>
      </c>
    </row>
    <row r="94" ht="18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>
        <f>IF(COUNTA(C94:G94)=5,ROUND(AVERAGE(C94:G94),1),"")</f>
        <v/>
      </c>
      <c r="P94" s="9">
        <f>IF(O94="","",IF(O94&gt;=4,"Ótimo",IF(O94&gt;=3,"Bom",IF(O94&gt;=2,"Moderado","Mal Recuperado"))))</f>
        <v/>
      </c>
    </row>
    <row r="95" ht="18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>
        <f>IF(COUNTA(C95:G95)=5,ROUND(AVERAGE(C95:G95),1),"")</f>
        <v/>
      </c>
      <c r="P95" s="10">
        <f>IF(O95="","",IF(O95&gt;=4,"Ótimo",IF(O95&gt;=3,"Bom",IF(O95&gt;=2,"Moderado","Mal Recuperado"))))</f>
        <v/>
      </c>
    </row>
    <row r="96" ht="18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>
        <f>IF(COUNTA(C96:G96)=5,ROUND(AVERAGE(C96:G96),1),"")</f>
        <v/>
      </c>
      <c r="P96" s="9">
        <f>IF(O96="","",IF(O96&gt;=4,"Ótimo",IF(O96&gt;=3,"Bom",IF(O96&gt;=2,"Moderado","Mal Recuperado"))))</f>
        <v/>
      </c>
    </row>
    <row r="97" ht="18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>
        <f>IF(COUNTA(C97:G97)=5,ROUND(AVERAGE(C97:G97),1),"")</f>
        <v/>
      </c>
      <c r="P97" s="10">
        <f>IF(O97="","",IF(O97&gt;=4,"Ótimo",IF(O97&gt;=3,"Bom",IF(O97&gt;=2,"Moderado","Mal Recuperado"))))</f>
        <v/>
      </c>
    </row>
    <row r="98" ht="18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>
        <f>IF(COUNTA(C98:G98)=5,ROUND(AVERAGE(C98:G98),1),"")</f>
        <v/>
      </c>
      <c r="P98" s="9">
        <f>IF(O98="","",IF(O98&gt;=4,"Ótimo",IF(O98&gt;=3,"Bom",IF(O98&gt;=2,"Moderado","Mal Recuperado"))))</f>
        <v/>
      </c>
    </row>
    <row r="99" ht="18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>
        <f>IF(COUNTA(C99:G99)=5,ROUND(AVERAGE(C99:G99),1),"")</f>
        <v/>
      </c>
      <c r="P99" s="10">
        <f>IF(O99="","",IF(O99&gt;=4,"Ótimo",IF(O99&gt;=3,"Bom",IF(O99&gt;=2,"Moderado","Mal Recuperado"))))</f>
        <v/>
      </c>
    </row>
    <row r="100" ht="1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>
        <f>IF(COUNTA(C100:G100)=5,ROUND(AVERAGE(C100:G100),1),"")</f>
        <v/>
      </c>
      <c r="P100" s="9">
        <f>IF(O100="","",IF(O100&gt;=4,"Ótimo",IF(O100&gt;=3,"Bom",IF(O100&gt;=2,"Moderado","Mal Recuperado"))))</f>
        <v/>
      </c>
    </row>
    <row r="101" ht="18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>
        <f>IF(COUNTA(C101:G101)=5,ROUND(AVERAGE(C101:G101),1),"")</f>
        <v/>
      </c>
      <c r="P101" s="10">
        <f>IF(O101="","",IF(O101&gt;=4,"Ótimo",IF(O101&gt;=3,"Bom",IF(O101&gt;=2,"Moderado","Mal Recuperado"))))</f>
        <v/>
      </c>
    </row>
    <row r="102" ht="1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>
        <f>IF(COUNTA(C102:G102)=5,ROUND(AVERAGE(C102:G102),1),"")</f>
        <v/>
      </c>
      <c r="P102" s="9">
        <f>IF(O102="","",IF(O102&gt;=4,"Ótimo",IF(O102&gt;=3,"Bom",IF(O102&gt;=2,"Moderado","Mal Recuperado"))))</f>
        <v/>
      </c>
    </row>
    <row r="103" ht="18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>
        <f>IF(COUNTA(C103:G103)=5,ROUND(AVERAGE(C103:G103),1),"")</f>
        <v/>
      </c>
      <c r="P103" s="10">
        <f>IF(O103="","",IF(O103&gt;=4,"Ótimo",IF(O103&gt;=3,"Bom",IF(O103&gt;=2,"Moderado","Mal Recuperado"))))</f>
        <v/>
      </c>
    </row>
  </sheetData>
  <mergeCells count="5">
    <mergeCell ref="A2:B2"/>
    <mergeCell ref="N2:P2"/>
    <mergeCell ref="A1:P1"/>
    <mergeCell ref="C2:G2"/>
    <mergeCell ref="H2:M2"/>
  </mergeCells>
  <conditionalFormatting sqref="O4:O103">
    <cfRule type="colorScale" priority="1">
      <colorScale>
        <cfvo type="num" val="1"/>
        <cfvo type="num" val="3"/>
        <cfvo type="num" val="5"/>
        <color rgb="00FCEBEB"/>
        <color rgb="00FAEEDA"/>
        <color rgb="00EAF3DE"/>
      </colorScale>
    </cfRule>
  </conditionalFormatting>
  <conditionalFormatting sqref="H4:H103">
    <cfRule type="cellIs" priority="2" operator="equal" dxfId="4">
      <formula>0</formula>
    </cfRule>
    <cfRule type="cellIs" priority="3" operator="equal" dxfId="5">
      <formula>1</formula>
    </cfRule>
    <cfRule type="cellIs" priority="4" operator="greaterThanOrEqual" dxfId="2">
      <formula>2</formula>
    </cfRule>
  </conditionalFormatting>
  <conditionalFormatting sqref="I4:I103">
    <cfRule type="cellIs" priority="5" operator="equal" dxfId="4">
      <formula>0</formula>
    </cfRule>
    <cfRule type="cellIs" priority="6" operator="equal" dxfId="5">
      <formula>1</formula>
    </cfRule>
    <cfRule type="cellIs" priority="7" operator="greaterThanOrEqual" dxfId="2">
      <formula>2</formula>
    </cfRule>
  </conditionalFormatting>
  <conditionalFormatting sqref="J4:J103">
    <cfRule type="cellIs" priority="8" operator="equal" dxfId="4">
      <formula>0</formula>
    </cfRule>
    <cfRule type="cellIs" priority="9" operator="equal" dxfId="5">
      <formula>1</formula>
    </cfRule>
    <cfRule type="cellIs" priority="10" operator="greaterThanOrEqual" dxfId="2">
      <formula>2</formula>
    </cfRule>
  </conditionalFormatting>
  <conditionalFormatting sqref="K4:K103">
    <cfRule type="cellIs" priority="11" operator="equal" dxfId="4">
      <formula>0</formula>
    </cfRule>
    <cfRule type="cellIs" priority="12" operator="equal" dxfId="5">
      <formula>1</formula>
    </cfRule>
    <cfRule type="cellIs" priority="13" operator="greaterThanOrEqual" dxfId="2">
      <formula>2</formula>
    </cfRule>
  </conditionalFormatting>
  <conditionalFormatting sqref="L4:L103">
    <cfRule type="cellIs" priority="14" operator="equal" dxfId="4">
      <formula>0</formula>
    </cfRule>
    <cfRule type="cellIs" priority="15" operator="equal" dxfId="5">
      <formula>1</formula>
    </cfRule>
    <cfRule type="cellIs" priority="16" operator="greaterThanOrEqual" dxfId="2">
      <formula>2</formula>
    </cfRule>
  </conditionalFormatting>
  <conditionalFormatting sqref="M4:M103">
    <cfRule type="cellIs" priority="17" operator="equal" dxfId="4">
      <formula>0</formula>
    </cfRule>
    <cfRule type="cellIs" priority="18" operator="equal" dxfId="5">
      <formula>1</formula>
    </cfRule>
    <cfRule type="cellIs" priority="19" operator="greaterThanOrEqual" dxfId="2">
      <formula>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10" customWidth="1" min="4" max="4"/>
    <col width="11" customWidth="1" min="5" max="5"/>
    <col width="9" customWidth="1" min="6" max="6"/>
    <col width="12" customWidth="1" min="7" max="7"/>
    <col width="9" customWidth="1" min="8" max="8"/>
    <col width="13" customWidth="1" min="9" max="9"/>
    <col width="10" customWidth="1" min="10" max="10"/>
    <col width="12" customWidth="1" min="11" max="11"/>
    <col width="12" customWidth="1" min="12" max="12"/>
    <col width="14" customWidth="1" min="13" max="13"/>
    <col width="14" customWidth="1" min="14" max="14"/>
    <col width="12" customWidth="1" min="15" max="15"/>
    <col width="13" customWidth="1" min="16" max="16"/>
    <col width="11" customWidth="1" min="17" max="17"/>
    <col width="22" customWidth="1" min="18" max="18"/>
  </cols>
  <sheetData>
    <row r="1" ht="34" customHeight="1">
      <c r="A1" s="1" t="inlineStr">
        <is>
          <t>NICHOLAS — DESEMPENHO POR SÉRIE  |  Cinemática, L-V Profile, Breakout e Vel Superfície</t>
        </is>
      </c>
    </row>
    <row r="2" ht="22" customHeight="1">
      <c r="A2" s="2" t="inlineStr">
        <is>
          <t>Identificação</t>
        </is>
      </c>
      <c r="F2" s="3" t="inlineStr">
        <is>
          <t>Dados brutos</t>
        </is>
      </c>
      <c r="K2" s="4" t="inlineStr">
        <is>
          <t>Cinemática calculada</t>
        </is>
      </c>
      <c r="P2" s="3" t="inlineStr">
        <is>
          <t>Análise</t>
        </is>
      </c>
    </row>
    <row r="3" ht="34" customHeight="1">
      <c r="A3" s="8" t="inlineStr">
        <is>
          <t>Data</t>
        </is>
      </c>
      <c r="B3" s="8" t="inlineStr">
        <is>
          <t>Tipo Treino</t>
        </is>
      </c>
      <c r="C3" s="8" t="inlineStr">
        <is>
          <t>Bloco / Série</t>
        </is>
      </c>
      <c r="D3" s="8" t="inlineStr">
        <is>
          <t>Distância
(m)</t>
        </is>
      </c>
      <c r="E3" s="8" t="inlineStr">
        <is>
          <t>Estilo</t>
        </is>
      </c>
      <c r="F3" s="8" t="inlineStr">
        <is>
          <t>Zona</t>
        </is>
      </c>
      <c r="G3" s="8" t="inlineStr">
        <is>
          <t>Material</t>
        </is>
      </c>
      <c r="H3" s="8" t="inlineStr">
        <is>
          <t>Tempo
(s)</t>
        </is>
      </c>
      <c r="I3" s="8" t="inlineStr">
        <is>
          <t>FB
(ciclos/min)</t>
        </is>
      </c>
      <c r="J3" s="8" t="inlineStr">
        <is>
          <t>Breakout
(m)</t>
        </is>
      </c>
      <c r="K3" s="8" t="inlineStr">
        <is>
          <t>Velocidade
(m/s)</t>
        </is>
      </c>
      <c r="L3" s="8" t="inlineStr">
        <is>
          <t>DPC
(m/ciclo)</t>
        </is>
      </c>
      <c r="M3" s="8" t="inlineStr">
        <is>
          <t>Índice
Nado (m²/ciclo)</t>
        </is>
      </c>
      <c r="N3" s="8" t="inlineStr">
        <is>
          <t>Vel Superfície
(m/s)</t>
        </is>
      </c>
      <c r="O3" s="8" t="inlineStr">
        <is>
          <t>T Superfície
(s)</t>
        </is>
      </c>
      <c r="P3" s="8" t="inlineStr">
        <is>
          <t>Δ DPC vs
Média (%)</t>
        </is>
      </c>
      <c r="Q3" s="8" t="inlineStr">
        <is>
          <t>Alerta</t>
        </is>
      </c>
      <c r="R3" s="8" t="inlineStr">
        <is>
          <t>Obs</t>
        </is>
      </c>
    </row>
    <row r="4" ht="18" customHeight="1">
      <c r="A4" s="9" t="inlineStr">
        <is>
          <t>2025-03-09</t>
        </is>
      </c>
      <c r="B4" s="9" t="inlineStr">
        <is>
          <t>COTP_LONGA</t>
        </is>
      </c>
      <c r="C4" s="9" t="inlineStr">
        <is>
          <t>50 A3 MC #1</t>
        </is>
      </c>
      <c r="D4" s="9" t="n">
        <v>50</v>
      </c>
      <c r="E4" s="9" t="inlineStr">
        <is>
          <t>Livre</t>
        </is>
      </c>
      <c r="F4" s="9" t="inlineStr">
        <is>
          <t>A3</t>
        </is>
      </c>
      <c r="G4" s="9" t="inlineStr">
        <is>
          <t>MC</t>
        </is>
      </c>
      <c r="H4" s="9" t="n">
        <v>26.3</v>
      </c>
      <c r="I4" s="9" t="n">
        <v>45</v>
      </c>
      <c r="J4" s="9" t="n"/>
      <c r="K4" s="9">
        <f>IF(AND(D4&lt;&gt;"",H4&lt;&gt;""),ROUND(D4/H4,3),"")</f>
        <v/>
      </c>
      <c r="L4" s="9">
        <f>IF(AND(K4&lt;&gt;"",I4&lt;&gt;""),ROUND(K4/(I4/60),2),"")</f>
        <v/>
      </c>
      <c r="M4" s="9">
        <f>IF(AND(K4&lt;&gt;"",L4&lt;&gt;""),ROUND(K4*L4,3),"")</f>
        <v/>
      </c>
      <c r="N4" s="9" t="n"/>
      <c r="O4" s="9" t="n"/>
      <c r="P4" s="9" t="inlineStr"/>
      <c r="Q4" s="9" t="inlineStr"/>
      <c r="R4" s="9" t="inlineStr">
        <is>
          <t>FB=45.9/44.8</t>
        </is>
      </c>
    </row>
    <row r="5" ht="18" customHeight="1">
      <c r="A5" s="10" t="inlineStr">
        <is>
          <t>2025-03-09</t>
        </is>
      </c>
      <c r="B5" s="10" t="inlineStr">
        <is>
          <t>COTP_LONGA</t>
        </is>
      </c>
      <c r="C5" s="10" t="inlineStr">
        <is>
          <t>50 A3 PP #2</t>
        </is>
      </c>
      <c r="D5" s="10" t="n">
        <v>50</v>
      </c>
      <c r="E5" s="10" t="inlineStr">
        <is>
          <t>Livre</t>
        </is>
      </c>
      <c r="F5" s="10" t="inlineStr">
        <is>
          <t>A3</t>
        </is>
      </c>
      <c r="G5" s="10" t="inlineStr">
        <is>
          <t>PP</t>
        </is>
      </c>
      <c r="H5" s="10" t="n">
        <v>26.4</v>
      </c>
      <c r="I5" s="10" t="n">
        <v>41.5</v>
      </c>
      <c r="J5" s="10" t="n"/>
      <c r="K5" s="10">
        <f>IF(AND(D5&lt;&gt;"",H5&lt;&gt;""),ROUND(D5/H5,3),"")</f>
        <v/>
      </c>
      <c r="L5" s="10">
        <f>IF(AND(K5&lt;&gt;"",I5&lt;&gt;""),ROUND(K5/(I5/60),2),"")</f>
        <v/>
      </c>
      <c r="M5" s="10">
        <f>IF(AND(K5&lt;&gt;"",L5&lt;&gt;""),ROUND(K5*L5,3),"")</f>
        <v/>
      </c>
      <c r="N5" s="10" t="n"/>
      <c r="O5" s="10" t="n"/>
      <c r="P5" s="10" t="inlineStr"/>
      <c r="Q5" s="10" t="inlineStr"/>
      <c r="R5" s="10" t="inlineStr"/>
    </row>
    <row r="6" ht="18" customHeight="1">
      <c r="A6" s="9" t="inlineStr">
        <is>
          <t>2025-03-09</t>
        </is>
      </c>
      <c r="B6" s="9" t="inlineStr">
        <is>
          <t>COTP_LONGA</t>
        </is>
      </c>
      <c r="C6" s="9" t="inlineStr">
        <is>
          <t>15 Bo S1#1</t>
        </is>
      </c>
      <c r="D6" s="9" t="n">
        <v>15</v>
      </c>
      <c r="E6" s="9" t="inlineStr">
        <is>
          <t>Borboleta</t>
        </is>
      </c>
      <c r="F6" s="9" t="inlineStr">
        <is>
          <t>A2/A3</t>
        </is>
      </c>
      <c r="G6" s="9" t="inlineStr">
        <is>
          <t>SM</t>
        </is>
      </c>
      <c r="H6" s="9" t="n">
        <v>6.3</v>
      </c>
      <c r="I6" s="9" t="n">
        <v>58</v>
      </c>
      <c r="J6" s="9" t="n"/>
      <c r="K6" s="9">
        <f>IF(AND(D6&lt;&gt;"",H6&lt;&gt;""),ROUND(D6/H6,3),"")</f>
        <v/>
      </c>
      <c r="L6" s="9">
        <f>IF(AND(K6&lt;&gt;"",I6&lt;&gt;""),ROUND(K6/(I6/60),2),"")</f>
        <v/>
      </c>
      <c r="M6" s="9">
        <f>IF(AND(K6&lt;&gt;"",L6&lt;&gt;""),ROUND(K6*L6,3),"")</f>
        <v/>
      </c>
      <c r="N6" s="9" t="n"/>
      <c r="O6" s="9" t="n"/>
      <c r="P6" s="9" t="inlineStr"/>
      <c r="Q6" s="9" t="inlineStr"/>
      <c r="R6" s="9" t="inlineStr"/>
    </row>
    <row r="7" ht="18" customHeight="1">
      <c r="A7" s="10" t="inlineStr">
        <is>
          <t>2025-03-09</t>
        </is>
      </c>
      <c r="B7" s="10" t="inlineStr">
        <is>
          <t>COTP_LONGA</t>
        </is>
      </c>
      <c r="C7" s="10" t="inlineStr">
        <is>
          <t>15 Bo S1#2</t>
        </is>
      </c>
      <c r="D7" s="10" t="n">
        <v>15</v>
      </c>
      <c r="E7" s="10" t="inlineStr">
        <is>
          <t>Borboleta</t>
        </is>
      </c>
      <c r="F7" s="10" t="inlineStr">
        <is>
          <t>A2/A3</t>
        </is>
      </c>
      <c r="G7" s="10" t="inlineStr">
        <is>
          <t>SM</t>
        </is>
      </c>
      <c r="H7" s="10" t="n">
        <v>8</v>
      </c>
      <c r="I7" s="10" t="n">
        <v>56</v>
      </c>
      <c r="J7" s="10" t="n"/>
      <c r="K7" s="10">
        <f>IF(AND(D7&lt;&gt;"",H7&lt;&gt;""),ROUND(D7/H7,3),"")</f>
        <v/>
      </c>
      <c r="L7" s="10">
        <f>IF(AND(K7&lt;&gt;"",I7&lt;&gt;""),ROUND(K7/(I7/60),2),"")</f>
        <v/>
      </c>
      <c r="M7" s="10">
        <f>IF(AND(K7&lt;&gt;"",L7&lt;&gt;""),ROUND(K7*L7,3),"")</f>
        <v/>
      </c>
      <c r="N7" s="10" t="n"/>
      <c r="O7" s="10" t="n"/>
      <c r="P7" s="10" t="inlineStr"/>
      <c r="Q7" s="10" t="inlineStr"/>
      <c r="R7" s="10" t="inlineStr"/>
    </row>
    <row r="8" ht="18" customHeight="1">
      <c r="A8" s="9" t="inlineStr">
        <is>
          <t>2025-03-09</t>
        </is>
      </c>
      <c r="B8" s="9" t="inlineStr">
        <is>
          <t>COTP_LONGA</t>
        </is>
      </c>
      <c r="C8" s="9" t="inlineStr">
        <is>
          <t>15 Bo S1#3</t>
        </is>
      </c>
      <c r="D8" s="9" t="n">
        <v>15</v>
      </c>
      <c r="E8" s="9" t="inlineStr">
        <is>
          <t>Borboleta</t>
        </is>
      </c>
      <c r="F8" s="9" t="inlineStr">
        <is>
          <t>A2/A3</t>
        </is>
      </c>
      <c r="G8" s="9" t="inlineStr">
        <is>
          <t>SM</t>
        </is>
      </c>
      <c r="H8" s="9" t="n">
        <v>6.3</v>
      </c>
      <c r="I8" s="9" t="n">
        <v>58</v>
      </c>
      <c r="J8" s="9" t="n"/>
      <c r="K8" s="9">
        <f>IF(AND(D8&lt;&gt;"",H8&lt;&gt;""),ROUND(D8/H8,3),"")</f>
        <v/>
      </c>
      <c r="L8" s="9">
        <f>IF(AND(K8&lt;&gt;"",I8&lt;&gt;""),ROUND(K8/(I8/60),2),"")</f>
        <v/>
      </c>
      <c r="M8" s="9">
        <f>IF(AND(K8&lt;&gt;"",L8&lt;&gt;""),ROUND(K8*L8,3),"")</f>
        <v/>
      </c>
      <c r="N8" s="9" t="n"/>
      <c r="O8" s="9" t="n"/>
      <c r="P8" s="9" t="inlineStr"/>
      <c r="Q8" s="9" t="inlineStr"/>
      <c r="R8" s="9" t="inlineStr"/>
    </row>
    <row r="9" ht="18" customHeight="1">
      <c r="A9" s="10" t="inlineStr">
        <is>
          <t>2025-03-09</t>
        </is>
      </c>
      <c r="B9" s="10" t="inlineStr">
        <is>
          <t>COTP_LONGA</t>
        </is>
      </c>
      <c r="C9" s="10" t="inlineStr">
        <is>
          <t>15 Bo S1#4</t>
        </is>
      </c>
      <c r="D9" s="10" t="n">
        <v>15</v>
      </c>
      <c r="E9" s="10" t="inlineStr">
        <is>
          <t>Borboleta</t>
        </is>
      </c>
      <c r="F9" s="10" t="inlineStr">
        <is>
          <t>A2/A3</t>
        </is>
      </c>
      <c r="G9" s="10" t="inlineStr">
        <is>
          <t>SM</t>
        </is>
      </c>
      <c r="H9" s="10" t="n">
        <v>8.199999999999999</v>
      </c>
      <c r="I9" s="10" t="n">
        <v>55</v>
      </c>
      <c r="J9" s="10" t="n"/>
      <c r="K9" s="10">
        <f>IF(AND(D9&lt;&gt;"",H9&lt;&gt;""),ROUND(D9/H9,3),"")</f>
        <v/>
      </c>
      <c r="L9" s="10">
        <f>IF(AND(K9&lt;&gt;"",I9&lt;&gt;""),ROUND(K9/(I9/60),2),"")</f>
        <v/>
      </c>
      <c r="M9" s="10">
        <f>IF(AND(K9&lt;&gt;"",L9&lt;&gt;""),ROUND(K9*L9,3),"")</f>
        <v/>
      </c>
      <c r="N9" s="10" t="n"/>
      <c r="O9" s="10" t="n"/>
      <c r="P9" s="10" t="inlineStr"/>
      <c r="Q9" s="10" t="inlineStr"/>
      <c r="R9" s="10" t="inlineStr"/>
    </row>
    <row r="10" ht="18" customHeight="1">
      <c r="A10" s="9" t="inlineStr">
        <is>
          <t>2025-03-09</t>
        </is>
      </c>
      <c r="B10" s="9" t="inlineStr">
        <is>
          <t>COTP_LONGA</t>
        </is>
      </c>
      <c r="C10" s="9" t="inlineStr">
        <is>
          <t>25 Bo #1</t>
        </is>
      </c>
      <c r="D10" s="9" t="n">
        <v>25</v>
      </c>
      <c r="E10" s="9" t="inlineStr">
        <is>
          <t>Borboleta</t>
        </is>
      </c>
      <c r="F10" s="9" t="inlineStr">
        <is>
          <t>A2/A3</t>
        </is>
      </c>
      <c r="G10" s="9" t="inlineStr">
        <is>
          <t>SM</t>
        </is>
      </c>
      <c r="H10" s="9" t="n">
        <v>10.96</v>
      </c>
      <c r="I10" s="9" t="n">
        <v>59.5</v>
      </c>
      <c r="J10" s="9" t="n"/>
      <c r="K10" s="9">
        <f>IF(AND(D10&lt;&gt;"",H10&lt;&gt;""),ROUND(D10/H10,3),"")</f>
        <v/>
      </c>
      <c r="L10" s="9">
        <f>IF(AND(K10&lt;&gt;"",I10&lt;&gt;""),ROUND(K10/(I10/60),2),"")</f>
        <v/>
      </c>
      <c r="M10" s="9">
        <f>IF(AND(K10&lt;&gt;"",L10&lt;&gt;""),ROUND(K10*L10,3),"")</f>
        <v/>
      </c>
      <c r="N10" s="9" t="n"/>
      <c r="O10" s="9" t="n"/>
      <c r="P10" s="9" t="inlineStr"/>
      <c r="Q10" s="9" t="inlineStr"/>
      <c r="R10" s="9" t="inlineStr"/>
    </row>
    <row r="11" ht="18" customHeight="1">
      <c r="A11" s="10" t="inlineStr">
        <is>
          <t>2025-03-09</t>
        </is>
      </c>
      <c r="B11" s="10" t="inlineStr">
        <is>
          <t>COTP_LONGA</t>
        </is>
      </c>
      <c r="C11" s="10" t="inlineStr">
        <is>
          <t>15 Bo S2#1</t>
        </is>
      </c>
      <c r="D11" s="10" t="n">
        <v>15</v>
      </c>
      <c r="E11" s="10" t="inlineStr">
        <is>
          <t>Borboleta</t>
        </is>
      </c>
      <c r="F11" s="10" t="inlineStr">
        <is>
          <t>A2/A3</t>
        </is>
      </c>
      <c r="G11" s="10" t="inlineStr">
        <is>
          <t>SM</t>
        </is>
      </c>
      <c r="H11" s="10" t="n">
        <v>6.3</v>
      </c>
      <c r="I11" s="10" t="n">
        <v>60</v>
      </c>
      <c r="J11" s="10" t="n"/>
      <c r="K11" s="10">
        <f>IF(AND(D11&lt;&gt;"",H11&lt;&gt;""),ROUND(D11/H11,3),"")</f>
        <v/>
      </c>
      <c r="L11" s="10">
        <f>IF(AND(K11&lt;&gt;"",I11&lt;&gt;""),ROUND(K11/(I11/60),2),"")</f>
        <v/>
      </c>
      <c r="M11" s="10">
        <f>IF(AND(K11&lt;&gt;"",L11&lt;&gt;""),ROUND(K11*L11,3),"")</f>
        <v/>
      </c>
      <c r="N11" s="10" t="n"/>
      <c r="O11" s="10" t="n"/>
      <c r="P11" s="10" t="inlineStr"/>
      <c r="Q11" s="10" t="inlineStr"/>
      <c r="R11" s="10" t="inlineStr"/>
    </row>
    <row r="12" ht="18" customHeight="1">
      <c r="A12" s="9" t="inlineStr">
        <is>
          <t>2025-03-09</t>
        </is>
      </c>
      <c r="B12" s="9" t="inlineStr">
        <is>
          <t>COTP_LONGA</t>
        </is>
      </c>
      <c r="C12" s="9" t="inlineStr">
        <is>
          <t>15 Bo S2#2</t>
        </is>
      </c>
      <c r="D12" s="9" t="n">
        <v>15</v>
      </c>
      <c r="E12" s="9" t="inlineStr">
        <is>
          <t>Borboleta</t>
        </is>
      </c>
      <c r="F12" s="9" t="inlineStr">
        <is>
          <t>A2/A3</t>
        </is>
      </c>
      <c r="G12" s="9" t="inlineStr">
        <is>
          <t>SM</t>
        </is>
      </c>
      <c r="H12" s="9" t="n">
        <v>8.1</v>
      </c>
      <c r="I12" s="9" t="n">
        <v>57</v>
      </c>
      <c r="J12" s="9" t="n"/>
      <c r="K12" s="9">
        <f>IF(AND(D12&lt;&gt;"",H12&lt;&gt;""),ROUND(D12/H12,3),"")</f>
        <v/>
      </c>
      <c r="L12" s="9">
        <f>IF(AND(K12&lt;&gt;"",I12&lt;&gt;""),ROUND(K12/(I12/60),2),"")</f>
        <v/>
      </c>
      <c r="M12" s="9">
        <f>IF(AND(K12&lt;&gt;"",L12&lt;&gt;""),ROUND(K12*L12,3),"")</f>
        <v/>
      </c>
      <c r="N12" s="9" t="n"/>
      <c r="O12" s="9" t="n"/>
      <c r="P12" s="9" t="inlineStr"/>
      <c r="Q12" s="9" t="inlineStr"/>
      <c r="R12" s="9" t="inlineStr"/>
    </row>
    <row r="13" ht="18" customHeight="1">
      <c r="A13" s="10" t="inlineStr">
        <is>
          <t>2025-03-09</t>
        </is>
      </c>
      <c r="B13" s="10" t="inlineStr">
        <is>
          <t>COTP_LONGA</t>
        </is>
      </c>
      <c r="C13" s="10" t="inlineStr">
        <is>
          <t>15 Bo S2#3</t>
        </is>
      </c>
      <c r="D13" s="10" t="n">
        <v>15</v>
      </c>
      <c r="E13" s="10" t="inlineStr">
        <is>
          <t>Borboleta</t>
        </is>
      </c>
      <c r="F13" s="10" t="inlineStr">
        <is>
          <t>A2/A3</t>
        </is>
      </c>
      <c r="G13" s="10" t="inlineStr">
        <is>
          <t>SM</t>
        </is>
      </c>
      <c r="H13" s="10" t="n">
        <v>6.4</v>
      </c>
      <c r="I13" s="10" t="n">
        <v>60</v>
      </c>
      <c r="J13" s="10" t="n"/>
      <c r="K13" s="10">
        <f>IF(AND(D13&lt;&gt;"",H13&lt;&gt;""),ROUND(D13/H13,3),"")</f>
        <v/>
      </c>
      <c r="L13" s="10">
        <f>IF(AND(K13&lt;&gt;"",I13&lt;&gt;""),ROUND(K13/(I13/60),2),"")</f>
        <v/>
      </c>
      <c r="M13" s="10">
        <f>IF(AND(K13&lt;&gt;"",L13&lt;&gt;""),ROUND(K13*L13,3),"")</f>
        <v/>
      </c>
      <c r="N13" s="10" t="n"/>
      <c r="O13" s="10" t="n"/>
      <c r="P13" s="10" t="inlineStr"/>
      <c r="Q13" s="10" t="inlineStr"/>
      <c r="R13" s="10" t="inlineStr"/>
    </row>
    <row r="14" ht="18" customHeight="1">
      <c r="A14" s="9" t="inlineStr">
        <is>
          <t>2025-03-09</t>
        </is>
      </c>
      <c r="B14" s="9" t="inlineStr">
        <is>
          <t>COTP_LONGA</t>
        </is>
      </c>
      <c r="C14" s="9" t="inlineStr">
        <is>
          <t>15 Bo S2#4</t>
        </is>
      </c>
      <c r="D14" s="9" t="n">
        <v>15</v>
      </c>
      <c r="E14" s="9" t="inlineStr">
        <is>
          <t>Borboleta</t>
        </is>
      </c>
      <c r="F14" s="9" t="inlineStr">
        <is>
          <t>A2/A3</t>
        </is>
      </c>
      <c r="G14" s="9" t="inlineStr">
        <is>
          <t>SM</t>
        </is>
      </c>
      <c r="H14" s="9" t="n">
        <v>8.300000000000001</v>
      </c>
      <c r="I14" s="9" t="n">
        <v>55</v>
      </c>
      <c r="J14" s="9" t="n"/>
      <c r="K14" s="9">
        <f>IF(AND(D14&lt;&gt;"",H14&lt;&gt;""),ROUND(D14/H14,3),"")</f>
        <v/>
      </c>
      <c r="L14" s="9">
        <f>IF(AND(K14&lt;&gt;"",I14&lt;&gt;""),ROUND(K14/(I14/60),2),"")</f>
        <v/>
      </c>
      <c r="M14" s="9">
        <f>IF(AND(K14&lt;&gt;"",L14&lt;&gt;""),ROUND(K14*L14,3),"")</f>
        <v/>
      </c>
      <c r="N14" s="9" t="n"/>
      <c r="O14" s="9" t="n"/>
      <c r="P14" s="9" t="inlineStr"/>
      <c r="Q14" s="9" t="inlineStr"/>
      <c r="R14" s="9" t="inlineStr"/>
    </row>
    <row r="15" ht="18" customHeight="1">
      <c r="A15" s="10" t="inlineStr">
        <is>
          <t>2025-03-09</t>
        </is>
      </c>
      <c r="B15" s="10" t="inlineStr">
        <is>
          <t>COTP_LONGA</t>
        </is>
      </c>
      <c r="C15" s="10" t="inlineStr">
        <is>
          <t>25 Bo #2</t>
        </is>
      </c>
      <c r="D15" s="10" t="n">
        <v>25</v>
      </c>
      <c r="E15" s="10" t="inlineStr">
        <is>
          <t>Borboleta</t>
        </is>
      </c>
      <c r="F15" s="10" t="inlineStr">
        <is>
          <t>A2/A3</t>
        </is>
      </c>
      <c r="G15" s="10" t="inlineStr">
        <is>
          <t>SM</t>
        </is>
      </c>
      <c r="H15" s="10" t="n">
        <v>10.72</v>
      </c>
      <c r="I15" s="10" t="n">
        <v>58.5</v>
      </c>
      <c r="J15" s="10" t="n"/>
      <c r="K15" s="10">
        <f>IF(AND(D15&lt;&gt;"",H15&lt;&gt;""),ROUND(D15/H15,3),"")</f>
        <v/>
      </c>
      <c r="L15" s="10">
        <f>IF(AND(K15&lt;&gt;"",I15&lt;&gt;""),ROUND(K15/(I15/60),2),"")</f>
        <v/>
      </c>
      <c r="M15" s="10">
        <f>IF(AND(K15&lt;&gt;"",L15&lt;&gt;""),ROUND(K15*L15,3),"")</f>
        <v/>
      </c>
      <c r="N15" s="10" t="n"/>
      <c r="O15" s="10" t="n"/>
      <c r="P15" s="10" t="inlineStr"/>
      <c r="Q15" s="10" t="inlineStr"/>
      <c r="R15" s="10" t="inlineStr"/>
    </row>
    <row r="16" ht="18" customHeight="1">
      <c r="A16" s="9" t="inlineStr">
        <is>
          <t>2025-03-11</t>
        </is>
      </c>
      <c r="B16" s="9" t="inlineStr">
        <is>
          <t>COTP_LONGA</t>
        </is>
      </c>
      <c r="C16" s="9" t="inlineStr">
        <is>
          <t>25 Bo RTM200</t>
        </is>
      </c>
      <c r="D16" s="9" t="n">
        <v>25</v>
      </c>
      <c r="E16" s="9" t="inlineStr">
        <is>
          <t>Borboleta</t>
        </is>
      </c>
      <c r="F16" s="9" t="inlineStr">
        <is>
          <t>RTM200</t>
        </is>
      </c>
      <c r="G16" s="9" t="inlineStr">
        <is>
          <t>SM</t>
        </is>
      </c>
      <c r="H16" s="9" t="n">
        <v>14.1</v>
      </c>
      <c r="I16" s="9" t="n">
        <v>41</v>
      </c>
      <c r="J16" s="9" t="n"/>
      <c r="K16" s="9">
        <f>IF(AND(D16&lt;&gt;"",H16&lt;&gt;""),ROUND(D16/H16,3),"")</f>
        <v/>
      </c>
      <c r="L16" s="9">
        <f>IF(AND(K16&lt;&gt;"",I16&lt;&gt;""),ROUND(K16/(I16/60),2),"")</f>
        <v/>
      </c>
      <c r="M16" s="9">
        <f>IF(AND(K16&lt;&gt;"",L16&lt;&gt;""),ROUND(K16*L16,3),"")</f>
        <v/>
      </c>
      <c r="N16" s="9" t="n"/>
      <c r="O16" s="9" t="n"/>
      <c r="P16" s="9" t="inlineStr"/>
      <c r="Q16" s="9" t="inlineStr"/>
      <c r="R16" s="9" t="inlineStr"/>
    </row>
    <row r="17" ht="18" customHeight="1">
      <c r="A17" s="10" t="inlineStr">
        <is>
          <t>2025-03-11</t>
        </is>
      </c>
      <c r="B17" s="10" t="inlineStr">
        <is>
          <t>COTP_LONGA</t>
        </is>
      </c>
      <c r="C17" s="10" t="inlineStr">
        <is>
          <t>25 Bo RTM100</t>
        </is>
      </c>
      <c r="D17" s="10" t="n">
        <v>25</v>
      </c>
      <c r="E17" s="10" t="inlineStr">
        <is>
          <t>Borboleta</t>
        </is>
      </c>
      <c r="F17" s="10" t="inlineStr">
        <is>
          <t>RTM100</t>
        </is>
      </c>
      <c r="G17" s="10" t="inlineStr">
        <is>
          <t>SM</t>
        </is>
      </c>
      <c r="H17" s="10" t="n">
        <v>12.9</v>
      </c>
      <c r="I17" s="10" t="n">
        <v>46</v>
      </c>
      <c r="J17" s="10" t="n"/>
      <c r="K17" s="10">
        <f>IF(AND(D17&lt;&gt;"",H17&lt;&gt;""),ROUND(D17/H17,3),"")</f>
        <v/>
      </c>
      <c r="L17" s="10">
        <f>IF(AND(K17&lt;&gt;"",I17&lt;&gt;""),ROUND(K17/(I17/60),2),"")</f>
        <v/>
      </c>
      <c r="M17" s="10">
        <f>IF(AND(K17&lt;&gt;"",L17&lt;&gt;""),ROUND(K17*L17,3),"")</f>
        <v/>
      </c>
      <c r="N17" s="10" t="n"/>
      <c r="O17" s="10" t="n"/>
      <c r="P17" s="10" t="inlineStr"/>
      <c r="Q17" s="10" t="inlineStr"/>
      <c r="R17" s="10" t="inlineStr"/>
    </row>
    <row r="18" ht="18" customHeight="1">
      <c r="A18" s="9" t="inlineStr">
        <is>
          <t>2025-03-11</t>
        </is>
      </c>
      <c r="B18" s="9" t="inlineStr">
        <is>
          <t>COTP_LONGA</t>
        </is>
      </c>
      <c r="C18" s="9" t="inlineStr">
        <is>
          <t>20 Bo AllOut SM</t>
        </is>
      </c>
      <c r="D18" s="9" t="n">
        <v>20</v>
      </c>
      <c r="E18" s="9" t="inlineStr">
        <is>
          <t>Borboleta</t>
        </is>
      </c>
      <c r="F18" s="9" t="inlineStr">
        <is>
          <t>AllOut</t>
        </is>
      </c>
      <c r="G18" s="9" t="inlineStr">
        <is>
          <t>SM</t>
        </is>
      </c>
      <c r="H18" s="9" t="n">
        <v>9.1</v>
      </c>
      <c r="I18" s="9" t="n">
        <v>56</v>
      </c>
      <c r="J18" s="9" t="n"/>
      <c r="K18" s="9">
        <f>IF(AND(D18&lt;&gt;"",H18&lt;&gt;""),ROUND(D18/H18,3),"")</f>
        <v/>
      </c>
      <c r="L18" s="9">
        <f>IF(AND(K18&lt;&gt;"",I18&lt;&gt;""),ROUND(K18/(I18/60),2),"")</f>
        <v/>
      </c>
      <c r="M18" s="9">
        <f>IF(AND(K18&lt;&gt;"",L18&lt;&gt;""),ROUND(K18*L18,3),"")</f>
        <v/>
      </c>
      <c r="N18" s="9" t="n"/>
      <c r="O18" s="9" t="n"/>
      <c r="P18" s="9" t="inlineStr"/>
      <c r="Q18" s="9" t="inlineStr"/>
      <c r="R18" s="9" t="inlineStr"/>
    </row>
    <row r="19" ht="18" customHeight="1">
      <c r="A19" s="10" t="inlineStr">
        <is>
          <t>2025-03-11</t>
        </is>
      </c>
      <c r="B19" s="10" t="inlineStr">
        <is>
          <t>COTP_LONGA</t>
        </is>
      </c>
      <c r="C19" s="10" t="inlineStr">
        <is>
          <t>15 Bo AllOut SM</t>
        </is>
      </c>
      <c r="D19" s="10" t="n">
        <v>15</v>
      </c>
      <c r="E19" s="10" t="inlineStr">
        <is>
          <t>Borboleta</t>
        </is>
      </c>
      <c r="F19" s="10" t="inlineStr">
        <is>
          <t>AllOut</t>
        </is>
      </c>
      <c r="G19" s="10" t="inlineStr">
        <is>
          <t>SM</t>
        </is>
      </c>
      <c r="H19" s="10" t="n">
        <v>6.6</v>
      </c>
      <c r="I19" s="10" t="n">
        <v>55</v>
      </c>
      <c r="J19" s="10" t="n"/>
      <c r="K19" s="10">
        <f>IF(AND(D19&lt;&gt;"",H19&lt;&gt;""),ROUND(D19/H19,3),"")</f>
        <v/>
      </c>
      <c r="L19" s="10">
        <f>IF(AND(K19&lt;&gt;"",I19&lt;&gt;""),ROUND(K19/(I19/60),2),"")</f>
        <v/>
      </c>
      <c r="M19" s="10">
        <f>IF(AND(K19&lt;&gt;"",L19&lt;&gt;""),ROUND(K19*L19,3),"")</f>
        <v/>
      </c>
      <c r="N19" s="10" t="n"/>
      <c r="O19" s="10" t="n"/>
      <c r="P19" s="10" t="inlineStr"/>
      <c r="Q19" s="10" t="inlineStr"/>
      <c r="R19" s="10" t="inlineStr"/>
    </row>
    <row r="20" ht="18" customHeight="1">
      <c r="A20" s="9" t="inlineStr">
        <is>
          <t>2025-03-11</t>
        </is>
      </c>
      <c r="B20" s="9" t="inlineStr">
        <is>
          <t>COTP_LONGA</t>
        </is>
      </c>
      <c r="C20" s="9" t="inlineStr">
        <is>
          <t>25 DESTRO S1</t>
        </is>
      </c>
      <c r="D20" s="9" t="n">
        <v>25</v>
      </c>
      <c r="E20" s="9" t="inlineStr">
        <is>
          <t>Borboleta</t>
        </is>
      </c>
      <c r="F20" s="9" t="inlineStr">
        <is>
          <t>AllOut</t>
        </is>
      </c>
      <c r="G20" s="9" t="inlineStr">
        <is>
          <t>DESTRO.60</t>
        </is>
      </c>
      <c r="H20" s="9" t="n">
        <v>15.2</v>
      </c>
      <c r="I20" s="9" t="n">
        <v>45</v>
      </c>
      <c r="J20" s="9" t="n"/>
      <c r="K20" s="9">
        <f>IF(AND(D20&lt;&gt;"",H20&lt;&gt;""),ROUND(D20/H20,3),"")</f>
        <v/>
      </c>
      <c r="L20" s="9">
        <f>IF(AND(K20&lt;&gt;"",I20&lt;&gt;""),ROUND(K20/(I20/60),2),"")</f>
        <v/>
      </c>
      <c r="M20" s="9">
        <f>IF(AND(K20&lt;&gt;"",L20&lt;&gt;""),ROUND(K20*L20,3),"")</f>
        <v/>
      </c>
      <c r="N20" s="9" t="n"/>
      <c r="O20" s="9" t="n"/>
      <c r="P20" s="9" t="inlineStr"/>
      <c r="Q20" s="9" t="inlineStr"/>
      <c r="R20" s="9" t="inlineStr">
        <is>
          <t>carga=60kg</t>
        </is>
      </c>
    </row>
    <row r="21" ht="18" customHeight="1">
      <c r="A21" s="10" t="inlineStr">
        <is>
          <t>2025-03-11</t>
        </is>
      </c>
      <c r="B21" s="10" t="inlineStr">
        <is>
          <t>COTP_LONGA</t>
        </is>
      </c>
      <c r="C21" s="10" t="inlineStr">
        <is>
          <t>25 DESTRO S2</t>
        </is>
      </c>
      <c r="D21" s="10" t="n">
        <v>25</v>
      </c>
      <c r="E21" s="10" t="inlineStr">
        <is>
          <t>Borboleta</t>
        </is>
      </c>
      <c r="F21" s="10" t="inlineStr">
        <is>
          <t>AllOut</t>
        </is>
      </c>
      <c r="G21" s="10" t="inlineStr">
        <is>
          <t>DESTRO.60</t>
        </is>
      </c>
      <c r="H21" s="10" t="n">
        <v>14.3</v>
      </c>
      <c r="I21" s="10" t="n">
        <v>50</v>
      </c>
      <c r="J21" s="10" t="n"/>
      <c r="K21" s="10">
        <f>IF(AND(D21&lt;&gt;"",H21&lt;&gt;""),ROUND(D21/H21,3),"")</f>
        <v/>
      </c>
      <c r="L21" s="10">
        <f>IF(AND(K21&lt;&gt;"",I21&lt;&gt;""),ROUND(K21/(I21/60),2),"")</f>
        <v/>
      </c>
      <c r="M21" s="10">
        <f>IF(AND(K21&lt;&gt;"",L21&lt;&gt;""),ROUND(K21*L21,3),"")</f>
        <v/>
      </c>
      <c r="N21" s="10" t="n"/>
      <c r="O21" s="10" t="n"/>
      <c r="P21" s="10" t="inlineStr"/>
      <c r="Q21" s="10" t="inlineStr"/>
      <c r="R21" s="10" t="inlineStr">
        <is>
          <t>carga=60kg</t>
        </is>
      </c>
    </row>
    <row r="22" ht="18" customHeight="1">
      <c r="A22" s="9" t="inlineStr">
        <is>
          <t>2026-04-13</t>
        </is>
      </c>
      <c r="B22" s="9" t="inlineStr">
        <is>
          <t>COTP_LONGA</t>
        </is>
      </c>
      <c r="C22" s="9" t="inlineStr">
        <is>
          <t>50 A3 MC #1</t>
        </is>
      </c>
      <c r="D22" s="9" t="n">
        <v>50</v>
      </c>
      <c r="E22" s="9" t="inlineStr">
        <is>
          <t>Livre</t>
        </is>
      </c>
      <c r="F22" s="9" t="inlineStr">
        <is>
          <t>A3</t>
        </is>
      </c>
      <c r="G22" s="9" t="inlineStr">
        <is>
          <t>MC</t>
        </is>
      </c>
      <c r="H22" s="9" t="n">
        <v>28.1</v>
      </c>
      <c r="I22" s="9" t="n">
        <v>45.9</v>
      </c>
      <c r="J22" s="9" t="n"/>
      <c r="K22" s="9">
        <f>IF(AND(D22&lt;&gt;"",H22&lt;&gt;""),ROUND(D22/H22,3),"")</f>
        <v/>
      </c>
      <c r="L22" s="9">
        <f>IF(AND(K22&lt;&gt;"",I22&lt;&gt;""),ROUND(K22/(I22/60),2),"")</f>
        <v/>
      </c>
      <c r="M22" s="9">
        <f>IF(AND(K22&lt;&gt;"",L22&lt;&gt;""),ROUND(K22*L22,3),"")</f>
        <v/>
      </c>
      <c r="N22" s="9" t="n"/>
      <c r="O22" s="9" t="n"/>
      <c r="P22" s="9" t="inlineStr"/>
      <c r="Q22" s="9" t="inlineStr"/>
      <c r="R22" s="9" t="inlineStr">
        <is>
          <t>FB ida/volta 45.9/44.8</t>
        </is>
      </c>
    </row>
    <row r="23" ht="18" customHeight="1">
      <c r="A23" s="10" t="inlineStr">
        <is>
          <t>2026-04-13</t>
        </is>
      </c>
      <c r="B23" s="10" t="inlineStr">
        <is>
          <t>COTP_LONGA</t>
        </is>
      </c>
      <c r="C23" s="10" t="inlineStr">
        <is>
          <t>50 A3 ML #2</t>
        </is>
      </c>
      <c r="D23" s="10" t="n">
        <v>50</v>
      </c>
      <c r="E23" s="10" t="inlineStr">
        <is>
          <t>Livre</t>
        </is>
      </c>
      <c r="F23" s="10" t="inlineStr">
        <is>
          <t>A3</t>
        </is>
      </c>
      <c r="G23" s="10" t="inlineStr">
        <is>
          <t>ML</t>
        </is>
      </c>
      <c r="H23" s="10" t="n">
        <v>27.3</v>
      </c>
      <c r="I23" s="10" t="n">
        <v>44.5</v>
      </c>
      <c r="J23" s="10" t="n"/>
      <c r="K23" s="10">
        <f>IF(AND(D23&lt;&gt;"",H23&lt;&gt;""),ROUND(D23/H23,3),"")</f>
        <v/>
      </c>
      <c r="L23" s="10">
        <f>IF(AND(K23&lt;&gt;"",I23&lt;&gt;""),ROUND(K23/(I23/60),2),"")</f>
        <v/>
      </c>
      <c r="M23" s="10">
        <f>IF(AND(K23&lt;&gt;"",L23&lt;&gt;""),ROUND(K23*L23,3),"")</f>
        <v/>
      </c>
      <c r="N23" s="10" t="n"/>
      <c r="O23" s="10" t="n"/>
      <c r="P23" s="10" t="inlineStr"/>
      <c r="Q23" s="10" t="inlineStr"/>
      <c r="R23" s="10" t="inlineStr">
        <is>
          <t>FB ida/volta 44.5/42.6</t>
        </is>
      </c>
    </row>
    <row r="24" ht="18" customHeight="1">
      <c r="A24" s="9" t="inlineStr">
        <is>
          <t>2026-04-13</t>
        </is>
      </c>
      <c r="B24" s="9" t="inlineStr">
        <is>
          <t>COTP_LONGA</t>
        </is>
      </c>
      <c r="C24" s="9" t="inlineStr">
        <is>
          <t>25 RTM200</t>
        </is>
      </c>
      <c r="D24" s="9" t="n">
        <v>25</v>
      </c>
      <c r="E24" s="9" t="inlineStr">
        <is>
          <t>Livre</t>
        </is>
      </c>
      <c r="F24" s="9" t="inlineStr">
        <is>
          <t>RTM200</t>
        </is>
      </c>
      <c r="G24" s="9" t="inlineStr">
        <is>
          <t>ML</t>
        </is>
      </c>
      <c r="H24" s="9" t="n">
        <v>12.3</v>
      </c>
      <c r="I24" s="9" t="n">
        <v>44.3</v>
      </c>
      <c r="J24" s="9" t="n"/>
      <c r="K24" s="9">
        <f>IF(AND(D24&lt;&gt;"",H24&lt;&gt;""),ROUND(D24/H24,3),"")</f>
        <v/>
      </c>
      <c r="L24" s="9">
        <f>IF(AND(K24&lt;&gt;"",I24&lt;&gt;""),ROUND(K24/(I24/60),2),"")</f>
        <v/>
      </c>
      <c r="M24" s="9">
        <f>IF(AND(K24&lt;&gt;"",L24&lt;&gt;""),ROUND(K24*L24,3),"")</f>
        <v/>
      </c>
      <c r="N24" s="9" t="n"/>
      <c r="O24" s="9" t="n"/>
      <c r="P24" s="9" t="inlineStr"/>
      <c r="Q24" s="9" t="inlineStr"/>
      <c r="R24" s="9" t="inlineStr"/>
    </row>
    <row r="25" ht="18" customHeight="1">
      <c r="A25" s="10" t="inlineStr">
        <is>
          <t>2026-04-13</t>
        </is>
      </c>
      <c r="B25" s="10" t="inlineStr">
        <is>
          <t>COTP_LONGA</t>
        </is>
      </c>
      <c r="C25" s="10" t="inlineStr">
        <is>
          <t>25 RTM100</t>
        </is>
      </c>
      <c r="D25" s="10" t="n">
        <v>25</v>
      </c>
      <c r="E25" s="10" t="inlineStr">
        <is>
          <t>Livre</t>
        </is>
      </c>
      <c r="F25" s="10" t="inlineStr">
        <is>
          <t>RTM100</t>
        </is>
      </c>
      <c r="G25" s="10" t="inlineStr">
        <is>
          <t>ML</t>
        </is>
      </c>
      <c r="H25" s="10" t="n">
        <v>11.2</v>
      </c>
      <c r="I25" s="10" t="n">
        <v>48.6</v>
      </c>
      <c r="J25" s="10" t="n"/>
      <c r="K25" s="10">
        <f>IF(AND(D25&lt;&gt;"",H25&lt;&gt;""),ROUND(D25/H25,3),"")</f>
        <v/>
      </c>
      <c r="L25" s="10">
        <f>IF(AND(K25&lt;&gt;"",I25&lt;&gt;""),ROUND(K25/(I25/60),2),"")</f>
        <v/>
      </c>
      <c r="M25" s="10">
        <f>IF(AND(K25&lt;&gt;"",L25&lt;&gt;""),ROUND(K25*L25,3),"")</f>
        <v/>
      </c>
      <c r="N25" s="10" t="n"/>
      <c r="O25" s="10" t="n"/>
      <c r="P25" s="10" t="inlineStr"/>
      <c r="Q25" s="10" t="inlineStr"/>
      <c r="R25" s="10" t="inlineStr"/>
    </row>
    <row r="26" ht="18" customHeight="1">
      <c r="A26" s="9" t="inlineStr">
        <is>
          <t>2026-04-13</t>
        </is>
      </c>
      <c r="B26" s="9" t="inlineStr">
        <is>
          <t>COTP_LONGA</t>
        </is>
      </c>
      <c r="C26" s="9" t="inlineStr">
        <is>
          <t>15 Fo Pr Subm #1</t>
        </is>
      </c>
      <c r="D26" s="9" t="n">
        <v>15</v>
      </c>
      <c r="E26" s="9" t="inlineStr">
        <is>
          <t>Livre</t>
        </is>
      </c>
      <c r="F26" s="9" t="inlineStr">
        <is>
          <t>Fo</t>
        </is>
      </c>
      <c r="G26" s="9" t="inlineStr">
        <is>
          <t>ML</t>
        </is>
      </c>
      <c r="H26" s="9" t="n">
        <v>5.6</v>
      </c>
      <c r="I26" s="9" t="n"/>
      <c r="J26" s="9" t="n"/>
      <c r="K26" s="9">
        <f>IF(AND(D26&lt;&gt;"",H26&lt;&gt;""),ROUND(D26/H26,3),"")</f>
        <v/>
      </c>
      <c r="L26" s="9">
        <f>IF(AND(K26&lt;&gt;"",I26&lt;&gt;""),ROUND(K26/(I26/60),2),"")</f>
        <v/>
      </c>
      <c r="M26" s="9">
        <f>IF(AND(K26&lt;&gt;"",L26&lt;&gt;""),ROUND(K26*L26,3),"")</f>
        <v/>
      </c>
      <c r="N26" s="9" t="n"/>
      <c r="O26" s="9" t="n"/>
      <c r="P26" s="9" t="inlineStr"/>
      <c r="Q26" s="9" t="inlineStr"/>
      <c r="R26" s="9" t="inlineStr">
        <is>
          <t>perna submerso</t>
        </is>
      </c>
    </row>
    <row r="27" ht="18" customHeight="1">
      <c r="A27" s="10" t="inlineStr">
        <is>
          <t>2026-04-13</t>
        </is>
      </c>
      <c r="B27" s="10" t="inlineStr">
        <is>
          <t>COTP_LONGA</t>
        </is>
      </c>
      <c r="C27" s="10" t="inlineStr">
        <is>
          <t>15 Fo Nd #2</t>
        </is>
      </c>
      <c r="D27" s="10" t="n">
        <v>15</v>
      </c>
      <c r="E27" s="10" t="inlineStr">
        <is>
          <t>Livre</t>
        </is>
      </c>
      <c r="F27" s="10" t="inlineStr">
        <is>
          <t>Fo</t>
        </is>
      </c>
      <c r="G27" s="10" t="inlineStr">
        <is>
          <t>ML</t>
        </is>
      </c>
      <c r="H27" s="10" t="n">
        <v>6.9</v>
      </c>
      <c r="I27" s="10" t="n">
        <v>55.5</v>
      </c>
      <c r="J27" s="10" t="n"/>
      <c r="K27" s="10">
        <f>IF(AND(D27&lt;&gt;"",H27&lt;&gt;""),ROUND(D27/H27,3),"")</f>
        <v/>
      </c>
      <c r="L27" s="10">
        <f>IF(AND(K27&lt;&gt;"",I27&lt;&gt;""),ROUND(K27/(I27/60),2),"")</f>
        <v/>
      </c>
      <c r="M27" s="10">
        <f>IF(AND(K27&lt;&gt;"",L27&lt;&gt;""),ROUND(K27*L27,3),"")</f>
        <v/>
      </c>
      <c r="N27" s="10" t="n"/>
      <c r="O27" s="10" t="n"/>
      <c r="P27" s="10" t="inlineStr"/>
      <c r="Q27" s="10" t="inlineStr"/>
      <c r="R27" s="10" t="inlineStr"/>
    </row>
    <row r="28" ht="18" customHeight="1">
      <c r="A28" s="9" t="inlineStr">
        <is>
          <t>2026-04-13</t>
        </is>
      </c>
      <c r="B28" s="9" t="inlineStr">
        <is>
          <t>COTP_LONGA</t>
        </is>
      </c>
      <c r="C28" s="9" t="inlineStr">
        <is>
          <t>15 Fo Pr Subm #3</t>
        </is>
      </c>
      <c r="D28" s="9" t="n">
        <v>15</v>
      </c>
      <c r="E28" s="9" t="inlineStr">
        <is>
          <t>Livre</t>
        </is>
      </c>
      <c r="F28" s="9" t="inlineStr">
        <is>
          <t>Fo</t>
        </is>
      </c>
      <c r="G28" s="9" t="inlineStr">
        <is>
          <t>ML</t>
        </is>
      </c>
      <c r="H28" s="9" t="n">
        <v>5.5</v>
      </c>
      <c r="I28" s="9" t="n"/>
      <c r="J28" s="9" t="n"/>
      <c r="K28" s="9">
        <f>IF(AND(D28&lt;&gt;"",H28&lt;&gt;""),ROUND(D28/H28,3),"")</f>
        <v/>
      </c>
      <c r="L28" s="9">
        <f>IF(AND(K28&lt;&gt;"",I28&lt;&gt;""),ROUND(K28/(I28/60),2),"")</f>
        <v/>
      </c>
      <c r="M28" s="9">
        <f>IF(AND(K28&lt;&gt;"",L28&lt;&gt;""),ROUND(K28*L28,3),"")</f>
        <v/>
      </c>
      <c r="N28" s="9" t="n"/>
      <c r="O28" s="9" t="n"/>
      <c r="P28" s="9" t="inlineStr"/>
      <c r="Q28" s="9" t="inlineStr"/>
      <c r="R28" s="9" t="inlineStr">
        <is>
          <t>perna submerso</t>
        </is>
      </c>
    </row>
    <row r="29" ht="18" customHeight="1">
      <c r="A29" s="10" t="inlineStr">
        <is>
          <t>2026-04-13</t>
        </is>
      </c>
      <c r="B29" s="10" t="inlineStr">
        <is>
          <t>COTP_LONGA</t>
        </is>
      </c>
      <c r="C29" s="10" t="inlineStr">
        <is>
          <t>15 Fo Nd #4</t>
        </is>
      </c>
      <c r="D29" s="10" t="n">
        <v>15</v>
      </c>
      <c r="E29" s="10" t="inlineStr">
        <is>
          <t>Livre</t>
        </is>
      </c>
      <c r="F29" s="10" t="inlineStr">
        <is>
          <t>Fo</t>
        </is>
      </c>
      <c r="G29" s="10" t="inlineStr">
        <is>
          <t>ML</t>
        </is>
      </c>
      <c r="H29" s="10" t="n">
        <v>7.2</v>
      </c>
      <c r="I29" s="10" t="n">
        <v>57.6</v>
      </c>
      <c r="J29" s="10" t="n"/>
      <c r="K29" s="10">
        <f>IF(AND(D29&lt;&gt;"",H29&lt;&gt;""),ROUND(D29/H29,3),"")</f>
        <v/>
      </c>
      <c r="L29" s="10">
        <f>IF(AND(K29&lt;&gt;"",I29&lt;&gt;""),ROUND(K29/(I29/60),2),"")</f>
        <v/>
      </c>
      <c r="M29" s="10">
        <f>IF(AND(K29&lt;&gt;"",L29&lt;&gt;""),ROUND(K29*L29,3),"")</f>
        <v/>
      </c>
      <c r="N29" s="10" t="n"/>
      <c r="O29" s="10" t="n"/>
      <c r="P29" s="10" t="inlineStr"/>
      <c r="Q29" s="10" t="inlineStr"/>
      <c r="R29" s="10" t="inlineStr"/>
    </row>
    <row r="30" ht="18" customHeight="1">
      <c r="A30" s="9" t="inlineStr">
        <is>
          <t>2026-04-13</t>
        </is>
      </c>
      <c r="B30" s="9" t="inlineStr">
        <is>
          <t>COTP_LONGA</t>
        </is>
      </c>
      <c r="C30" s="9" t="inlineStr">
        <is>
          <t>Sd#1 Deslize 15m</t>
        </is>
      </c>
      <c r="D30" s="9" t="n">
        <v>15</v>
      </c>
      <c r="E30" s="9" t="inlineStr">
        <is>
          <t>Livre</t>
        </is>
      </c>
      <c r="F30" s="9" t="inlineStr">
        <is>
          <t>Fo</t>
        </is>
      </c>
      <c r="G30" s="9" t="inlineStr">
        <is>
          <t>SM</t>
        </is>
      </c>
      <c r="H30" s="9" t="n">
        <v>9.4</v>
      </c>
      <c r="I30" s="9" t="n"/>
      <c r="J30" s="9" t="n">
        <v>15</v>
      </c>
      <c r="K30" s="9">
        <f>IF(AND(D30&lt;&gt;"",H30&lt;&gt;""),ROUND(D30/H30,3),"")</f>
        <v/>
      </c>
      <c r="L30" s="9">
        <f>IF(AND(K30&lt;&gt;"",I30&lt;&gt;""),ROUND(K30/(I30/60),2),"")</f>
        <v/>
      </c>
      <c r="M30" s="9">
        <f>IF(AND(K30&lt;&gt;"",L30&lt;&gt;""),ROUND(K30*L30,3),"")</f>
        <v/>
      </c>
      <c r="N30" s="9" t="n"/>
      <c r="O30" s="9" t="n"/>
      <c r="P30" s="9" t="inlineStr"/>
      <c r="Q30" s="9" t="inlineStr"/>
      <c r="R30" s="9" t="inlineStr">
        <is>
          <t>dolphin kick puro</t>
        </is>
      </c>
    </row>
    <row r="31" ht="18" customHeight="1">
      <c r="A31" s="10" t="inlineStr">
        <is>
          <t>2026-04-13</t>
        </is>
      </c>
      <c r="B31" s="10" t="inlineStr">
        <is>
          <t>COTP_LONGA</t>
        </is>
      </c>
      <c r="C31" s="10" t="inlineStr">
        <is>
          <t>Sd#2 Fo 15m subm</t>
        </is>
      </c>
      <c r="D31" s="10" t="n">
        <v>15</v>
      </c>
      <c r="E31" s="10" t="inlineStr">
        <is>
          <t>Livre</t>
        </is>
      </c>
      <c r="F31" s="10" t="inlineStr">
        <is>
          <t>AllOut</t>
        </is>
      </c>
      <c r="G31" s="10" t="inlineStr">
        <is>
          <t>SM</t>
        </is>
      </c>
      <c r="H31" s="10" t="n">
        <v>5.5</v>
      </c>
      <c r="I31" s="10" t="n"/>
      <c r="J31" s="10" t="n">
        <v>15</v>
      </c>
      <c r="K31" s="10">
        <f>IF(AND(D31&lt;&gt;"",H31&lt;&gt;""),ROUND(D31/H31,3),"")</f>
        <v/>
      </c>
      <c r="L31" s="10">
        <f>IF(AND(K31&lt;&gt;"",I31&lt;&gt;""),ROUND(K31/(I31/60),2),"")</f>
        <v/>
      </c>
      <c r="M31" s="10">
        <f>IF(AND(K31&lt;&gt;"",L31&lt;&gt;""),ROUND(K31*L31,3),"")</f>
        <v/>
      </c>
      <c r="N31" s="10" t="n"/>
      <c r="O31" s="10" t="n"/>
      <c r="P31" s="10" t="inlineStr"/>
      <c r="Q31" s="10" t="inlineStr"/>
      <c r="R31" s="10" t="inlineStr">
        <is>
          <t>saída AllOut submersa</t>
        </is>
      </c>
    </row>
    <row r="32" ht="18" customHeight="1">
      <c r="A32" s="9" t="inlineStr">
        <is>
          <t>2026-04-13</t>
        </is>
      </c>
      <c r="B32" s="9" t="inlineStr">
        <is>
          <t>COTP_LONGA</t>
        </is>
      </c>
      <c r="C32" s="9" t="inlineStr">
        <is>
          <t>Sd#3 Fo 25m total</t>
        </is>
      </c>
      <c r="D32" s="9" t="n">
        <v>25</v>
      </c>
      <c r="E32" s="9" t="inlineStr">
        <is>
          <t>Livre</t>
        </is>
      </c>
      <c r="F32" s="9" t="inlineStr">
        <is>
          <t>AllOut</t>
        </is>
      </c>
      <c r="G32" s="9" t="inlineStr">
        <is>
          <t>SM</t>
        </is>
      </c>
      <c r="H32" s="9" t="n">
        <v>10.9</v>
      </c>
      <c r="I32" s="9" t="n">
        <v>59.6</v>
      </c>
      <c r="J32" s="9" t="n">
        <v>15</v>
      </c>
      <c r="K32" s="9">
        <f>IF(AND(D32&lt;&gt;"",H32&lt;&gt;""),ROUND(D32/H32,3),"")</f>
        <v/>
      </c>
      <c r="L32" s="9">
        <f>IF(AND(K32&lt;&gt;"",I32&lt;&gt;""),ROUND(K32/(I32/60),2),"")</f>
        <v/>
      </c>
      <c r="M32" s="9">
        <f>IF(AND(K32&lt;&gt;"",L32&lt;&gt;""),ROUND(K32*L32,3),"")</f>
        <v/>
      </c>
      <c r="N32" s="9" t="n">
        <v>1.887</v>
      </c>
      <c r="O32" s="9" t="n">
        <v>5.3</v>
      </c>
      <c r="P32" s="9" t="inlineStr"/>
      <c r="Q32" s="9" t="inlineStr"/>
      <c r="R32" s="9" t="inlineStr">
        <is>
          <t>subm=5.6s;surf=5.3s</t>
        </is>
      </c>
    </row>
    <row r="33" ht="18" customHeight="1">
      <c r="A33" s="10" t="inlineStr">
        <is>
          <t>2026-04-13</t>
        </is>
      </c>
      <c r="B33" s="10" t="inlineStr">
        <is>
          <t>COTP_LONGA</t>
        </is>
      </c>
      <c r="C33" s="10" t="inlineStr">
        <is>
          <t>25 DESTRO S1R1</t>
        </is>
      </c>
      <c r="D33" s="10" t="n">
        <v>25</v>
      </c>
      <c r="E33" s="10" t="inlineStr">
        <is>
          <t>Borboleta</t>
        </is>
      </c>
      <c r="F33" s="10" t="inlineStr">
        <is>
          <t>AllOut</t>
        </is>
      </c>
      <c r="G33" s="10" t="inlineStr">
        <is>
          <t>DESTRO.40</t>
        </is>
      </c>
      <c r="H33" s="10" t="n">
        <v>12.4</v>
      </c>
      <c r="I33" s="10" t="n">
        <v>52</v>
      </c>
      <c r="J33" s="10" t="n"/>
      <c r="K33" s="10">
        <f>IF(AND(D33&lt;&gt;"",H33&lt;&gt;""),ROUND(D33/H33,3),"")</f>
        <v/>
      </c>
      <c r="L33" s="10">
        <f>IF(AND(K33&lt;&gt;"",I33&lt;&gt;""),ROUND(K33/(I33/60),2),"")</f>
        <v/>
      </c>
      <c r="M33" s="10">
        <f>IF(AND(K33&lt;&gt;"",L33&lt;&gt;""),ROUND(K33*L33,3),"")</f>
        <v/>
      </c>
      <c r="N33" s="10" t="n"/>
      <c r="O33" s="10" t="n"/>
      <c r="P33" s="10" t="inlineStr"/>
      <c r="Q33" s="10" t="inlineStr"/>
      <c r="R33" s="10" t="inlineStr">
        <is>
          <t>carga=40kg;LV_profile</t>
        </is>
      </c>
    </row>
    <row r="34" ht="18" customHeight="1">
      <c r="A34" s="9" t="inlineStr">
        <is>
          <t>2026-04-13</t>
        </is>
      </c>
      <c r="B34" s="9" t="inlineStr">
        <is>
          <t>COTP_LONGA</t>
        </is>
      </c>
      <c r="C34" s="9" t="inlineStr">
        <is>
          <t>25 DESTRO S1R2</t>
        </is>
      </c>
      <c r="D34" s="9" t="n">
        <v>25</v>
      </c>
      <c r="E34" s="9" t="inlineStr">
        <is>
          <t>Borboleta</t>
        </is>
      </c>
      <c r="F34" s="9" t="inlineStr">
        <is>
          <t>AllOut</t>
        </is>
      </c>
      <c r="G34" s="9" t="inlineStr">
        <is>
          <t>DESTRO.40</t>
        </is>
      </c>
      <c r="H34" s="9" t="n">
        <v>12.2</v>
      </c>
      <c r="I34" s="9" t="n">
        <v>52.1</v>
      </c>
      <c r="J34" s="9" t="n"/>
      <c r="K34" s="9">
        <f>IF(AND(D34&lt;&gt;"",H34&lt;&gt;""),ROUND(D34/H34,3),"")</f>
        <v/>
      </c>
      <c r="L34" s="9">
        <f>IF(AND(K34&lt;&gt;"",I34&lt;&gt;""),ROUND(K34/(I34/60),2),"")</f>
        <v/>
      </c>
      <c r="M34" s="9">
        <f>IF(AND(K34&lt;&gt;"",L34&lt;&gt;""),ROUND(K34*L34,3),"")</f>
        <v/>
      </c>
      <c r="N34" s="9" t="n"/>
      <c r="O34" s="9" t="n"/>
      <c r="P34" s="9" t="inlineStr"/>
      <c r="Q34" s="9" t="inlineStr"/>
      <c r="R34" s="9" t="inlineStr">
        <is>
          <t>carga=40kg;LV_profile</t>
        </is>
      </c>
    </row>
    <row r="35" ht="18" customHeight="1">
      <c r="A35" s="10" t="inlineStr">
        <is>
          <t>2026-04-13</t>
        </is>
      </c>
      <c r="B35" s="10" t="inlineStr">
        <is>
          <t>COTP_LONGA</t>
        </is>
      </c>
      <c r="C35" s="10" t="inlineStr">
        <is>
          <t>25 DESTRO S2R1</t>
        </is>
      </c>
      <c r="D35" s="10" t="n">
        <v>25</v>
      </c>
      <c r="E35" s="10" t="inlineStr">
        <is>
          <t>Borboleta</t>
        </is>
      </c>
      <c r="F35" s="10" t="inlineStr">
        <is>
          <t>AllOut</t>
        </is>
      </c>
      <c r="G35" s="10" t="inlineStr">
        <is>
          <t>DESTRO.40</t>
        </is>
      </c>
      <c r="H35" s="10" t="n">
        <v>12</v>
      </c>
      <c r="I35" s="10" t="n">
        <v>53.5</v>
      </c>
      <c r="J35" s="10" t="n"/>
      <c r="K35" s="10">
        <f>IF(AND(D35&lt;&gt;"",H35&lt;&gt;""),ROUND(D35/H35,3),"")</f>
        <v/>
      </c>
      <c r="L35" s="10">
        <f>IF(AND(K35&lt;&gt;"",I35&lt;&gt;""),ROUND(K35/(I35/60),2),"")</f>
        <v/>
      </c>
      <c r="M35" s="10">
        <f>IF(AND(K35&lt;&gt;"",L35&lt;&gt;""),ROUND(K35*L35,3),"")</f>
        <v/>
      </c>
      <c r="N35" s="10" t="n"/>
      <c r="O35" s="10" t="n"/>
      <c r="P35" s="10" t="inlineStr"/>
      <c r="Q35" s="10" t="inlineStr"/>
      <c r="R35" s="10" t="inlineStr">
        <is>
          <t>carga=40kg;LV_profile</t>
        </is>
      </c>
    </row>
    <row r="36" ht="18" customHeight="1">
      <c r="A36" s="9" t="inlineStr">
        <is>
          <t>2026-04-13</t>
        </is>
      </c>
      <c r="B36" s="9" t="inlineStr">
        <is>
          <t>COTP_LONGA</t>
        </is>
      </c>
      <c r="C36" s="9" t="inlineStr">
        <is>
          <t>25 DESTRO S2R2</t>
        </is>
      </c>
      <c r="D36" s="9" t="n">
        <v>25</v>
      </c>
      <c r="E36" s="9" t="inlineStr">
        <is>
          <t>Borboleta</t>
        </is>
      </c>
      <c r="F36" s="9" t="inlineStr">
        <is>
          <t>AllOut</t>
        </is>
      </c>
      <c r="G36" s="9" t="inlineStr">
        <is>
          <t>DESTRO.40</t>
        </is>
      </c>
      <c r="H36" s="9" t="n">
        <v>12</v>
      </c>
      <c r="I36" s="9" t="n">
        <v>50.7</v>
      </c>
      <c r="J36" s="9" t="n"/>
      <c r="K36" s="9">
        <f>IF(AND(D36&lt;&gt;"",H36&lt;&gt;""),ROUND(D36/H36,3),"")</f>
        <v/>
      </c>
      <c r="L36" s="9">
        <f>IF(AND(K36&lt;&gt;"",I36&lt;&gt;""),ROUND(K36/(I36/60),2),"")</f>
        <v/>
      </c>
      <c r="M36" s="9">
        <f>IF(AND(K36&lt;&gt;"",L36&lt;&gt;""),ROUND(K36*L36,3),"")</f>
        <v/>
      </c>
      <c r="N36" s="9" t="n"/>
      <c r="O36" s="9" t="n"/>
      <c r="P36" s="9" t="inlineStr"/>
      <c r="Q36" s="9" t="inlineStr"/>
      <c r="R36" s="9" t="inlineStr">
        <is>
          <t>carga=40kg;LV_profile</t>
        </is>
      </c>
    </row>
    <row r="37" ht="18" customHeight="1">
      <c r="A37" s="10" t="inlineStr">
        <is>
          <t>2026-04-13</t>
        </is>
      </c>
      <c r="B37" s="10" t="inlineStr">
        <is>
          <t>COTP_LONGA</t>
        </is>
      </c>
      <c r="C37" s="10" t="inlineStr">
        <is>
          <t>25 DESTRO S3R1</t>
        </is>
      </c>
      <c r="D37" s="10" t="n">
        <v>25</v>
      </c>
      <c r="E37" s="10" t="inlineStr">
        <is>
          <t>Borboleta</t>
        </is>
      </c>
      <c r="F37" s="10" t="inlineStr">
        <is>
          <t>AllOut</t>
        </is>
      </c>
      <c r="G37" s="10" t="inlineStr">
        <is>
          <t>DESTRO.40</t>
        </is>
      </c>
      <c r="H37" s="10" t="n">
        <v>11.7</v>
      </c>
      <c r="I37" s="10" t="n">
        <v>55.6</v>
      </c>
      <c r="J37" s="10" t="n"/>
      <c r="K37" s="10">
        <f>IF(AND(D37&lt;&gt;"",H37&lt;&gt;""),ROUND(D37/H37,3),"")</f>
        <v/>
      </c>
      <c r="L37" s="10">
        <f>IF(AND(K37&lt;&gt;"",I37&lt;&gt;""),ROUND(K37/(I37/60),2),"")</f>
        <v/>
      </c>
      <c r="M37" s="10">
        <f>IF(AND(K37&lt;&gt;"",L37&lt;&gt;""),ROUND(K37*L37,3),"")</f>
        <v/>
      </c>
      <c r="N37" s="10" t="n"/>
      <c r="O37" s="10" t="n"/>
      <c r="P37" s="10" t="inlineStr"/>
      <c r="Q37" s="10" t="inlineStr"/>
      <c r="R37" s="10" t="inlineStr">
        <is>
          <t>carga=40kg;LV_profile</t>
        </is>
      </c>
    </row>
    <row r="38" ht="18" customHeight="1">
      <c r="A38" s="9" t="inlineStr">
        <is>
          <t>2026-04-13</t>
        </is>
      </c>
      <c r="B38" s="9" t="inlineStr">
        <is>
          <t>COTP_LONGA</t>
        </is>
      </c>
      <c r="C38" s="9" t="inlineStr">
        <is>
          <t>25 DESTRO S3R2</t>
        </is>
      </c>
      <c r="D38" s="9" t="n">
        <v>25</v>
      </c>
      <c r="E38" s="9" t="inlineStr">
        <is>
          <t>Borboleta</t>
        </is>
      </c>
      <c r="F38" s="9" t="inlineStr">
        <is>
          <t>AllOut</t>
        </is>
      </c>
      <c r="G38" s="9" t="inlineStr">
        <is>
          <t>DESTRO.40</t>
        </is>
      </c>
      <c r="H38" s="9" t="n">
        <v>11.8</v>
      </c>
      <c r="I38" s="9" t="n">
        <v>53.5</v>
      </c>
      <c r="J38" s="9" t="n"/>
      <c r="K38" s="9">
        <f>IF(AND(D38&lt;&gt;"",H38&lt;&gt;""),ROUND(D38/H38,3),"")</f>
        <v/>
      </c>
      <c r="L38" s="9">
        <f>IF(AND(K38&lt;&gt;"",I38&lt;&gt;""),ROUND(K38/(I38/60),2),"")</f>
        <v/>
      </c>
      <c r="M38" s="9">
        <f>IF(AND(K38&lt;&gt;"",L38&lt;&gt;""),ROUND(K38*L38,3),"")</f>
        <v/>
      </c>
      <c r="N38" s="9" t="n"/>
      <c r="O38" s="9" t="n"/>
      <c r="P38" s="9" t="inlineStr"/>
      <c r="Q38" s="9" t="inlineStr"/>
      <c r="R38" s="9" t="inlineStr">
        <is>
          <t>carga=40kg;LV_profile</t>
        </is>
      </c>
    </row>
    <row r="39" ht="18" customHeight="1">
      <c r="A39" s="10" t="inlineStr">
        <is>
          <t>2026-04-13</t>
        </is>
      </c>
      <c r="B39" s="10" t="inlineStr">
        <is>
          <t>COTP_LONGA</t>
        </is>
      </c>
      <c r="C39" s="10" t="inlineStr">
        <is>
          <t>25 DESTRO S4R1</t>
        </is>
      </c>
      <c r="D39" s="10" t="n">
        <v>25</v>
      </c>
      <c r="E39" s="10" t="inlineStr">
        <is>
          <t>Borboleta</t>
        </is>
      </c>
      <c r="F39" s="10" t="inlineStr">
        <is>
          <t>AllOut</t>
        </is>
      </c>
      <c r="G39" s="10" t="inlineStr">
        <is>
          <t>DESTRO.40</t>
        </is>
      </c>
      <c r="H39" s="10" t="n">
        <v>11.8</v>
      </c>
      <c r="I39" s="10" t="n">
        <v>55.6</v>
      </c>
      <c r="J39" s="10" t="n"/>
      <c r="K39" s="10">
        <f>IF(AND(D39&lt;&gt;"",H39&lt;&gt;""),ROUND(D39/H39,3),"")</f>
        <v/>
      </c>
      <c r="L39" s="10">
        <f>IF(AND(K39&lt;&gt;"",I39&lt;&gt;""),ROUND(K39/(I39/60),2),"")</f>
        <v/>
      </c>
      <c r="M39" s="10">
        <f>IF(AND(K39&lt;&gt;"",L39&lt;&gt;""),ROUND(K39*L39,3),"")</f>
        <v/>
      </c>
      <c r="N39" s="10" t="n"/>
      <c r="O39" s="10" t="n"/>
      <c r="P39" s="10" t="inlineStr"/>
      <c r="Q39" s="10" t="inlineStr"/>
      <c r="R39" s="10" t="inlineStr">
        <is>
          <t>carga=40kg;LV_profile</t>
        </is>
      </c>
    </row>
    <row r="40" ht="18" customHeight="1">
      <c r="A40" s="9" t="inlineStr">
        <is>
          <t>2026-04-13</t>
        </is>
      </c>
      <c r="B40" s="9" t="inlineStr">
        <is>
          <t>COTP_LONGA</t>
        </is>
      </c>
      <c r="C40" s="9" t="inlineStr">
        <is>
          <t>25 DESTRO S4R2</t>
        </is>
      </c>
      <c r="D40" s="9" t="n">
        <v>25</v>
      </c>
      <c r="E40" s="9" t="inlineStr">
        <is>
          <t>Borboleta</t>
        </is>
      </c>
      <c r="F40" s="9" t="inlineStr">
        <is>
          <t>AllOut</t>
        </is>
      </c>
      <c r="G40" s="9" t="inlineStr">
        <is>
          <t>DESTRO.40</t>
        </is>
      </c>
      <c r="H40" s="9" t="n">
        <v>11.7</v>
      </c>
      <c r="I40" s="9" t="n">
        <v>52.1</v>
      </c>
      <c r="J40" s="9" t="n"/>
      <c r="K40" s="9">
        <f>IF(AND(D40&lt;&gt;"",H40&lt;&gt;""),ROUND(D40/H40,3),"")</f>
        <v/>
      </c>
      <c r="L40" s="9">
        <f>IF(AND(K40&lt;&gt;"",I40&lt;&gt;""),ROUND(K40/(I40/60),2),"")</f>
        <v/>
      </c>
      <c r="M40" s="9">
        <f>IF(AND(K40&lt;&gt;"",L40&lt;&gt;""),ROUND(K40*L40,3),"")</f>
        <v/>
      </c>
      <c r="N40" s="9" t="n"/>
      <c r="O40" s="9" t="n"/>
      <c r="P40" s="9" t="inlineStr"/>
      <c r="Q40" s="9" t="inlineStr"/>
      <c r="R40" s="9" t="inlineStr">
        <is>
          <t>carga=40kg;LV_profile</t>
        </is>
      </c>
    </row>
    <row r="41" ht="18" customHeight="1">
      <c r="A41" s="10" t="inlineStr">
        <is>
          <t>2026-04-13</t>
        </is>
      </c>
      <c r="B41" s="10" t="inlineStr">
        <is>
          <t>COTP_LONGA</t>
        </is>
      </c>
      <c r="C41" s="10" t="inlineStr">
        <is>
          <t>30 Bo SM AllOut S1R1</t>
        </is>
      </c>
      <c r="D41" s="10" t="n">
        <v>30</v>
      </c>
      <c r="E41" s="10" t="inlineStr">
        <is>
          <t>Borboleta</t>
        </is>
      </c>
      <c r="F41" s="10" t="inlineStr">
        <is>
          <t>AllOut</t>
        </is>
      </c>
      <c r="G41" s="10" t="inlineStr">
        <is>
          <t>SM</t>
        </is>
      </c>
      <c r="H41" s="10" t="n">
        <v>10</v>
      </c>
      <c r="I41" s="10" t="n">
        <v>56.6</v>
      </c>
      <c r="J41" s="10" t="n">
        <v>23.5</v>
      </c>
      <c r="K41" s="10">
        <f>IF(AND(D41&lt;&gt;"",H41&lt;&gt;""),ROUND(D41/H41,3),"")</f>
        <v/>
      </c>
      <c r="L41" s="10">
        <f>IF(AND(K41&lt;&gt;"",I41&lt;&gt;""),ROUND(K41/(I41/60),2),"")</f>
        <v/>
      </c>
      <c r="M41" s="10">
        <f>IF(AND(K41&lt;&gt;"",L41&lt;&gt;""),ROUND(K41*L41,3),"")</f>
        <v/>
      </c>
      <c r="N41" s="10" t="n">
        <v>2.039</v>
      </c>
      <c r="O41" s="10" t="n"/>
      <c r="P41" s="10" t="inlineStr"/>
      <c r="Q41" s="10" t="inlineStr"/>
      <c r="R41" s="10" t="inlineStr">
        <is>
          <t>bo=23.5m</t>
        </is>
      </c>
    </row>
    <row r="42" ht="18" customHeight="1">
      <c r="A42" s="9" t="inlineStr">
        <is>
          <t>2026-04-13</t>
        </is>
      </c>
      <c r="B42" s="9" t="inlineStr">
        <is>
          <t>COTP_LONGA</t>
        </is>
      </c>
      <c r="C42" s="9" t="inlineStr">
        <is>
          <t>30 Bo SM AllOut S1R2</t>
        </is>
      </c>
      <c r="D42" s="9" t="n">
        <v>30</v>
      </c>
      <c r="E42" s="9" t="inlineStr">
        <is>
          <t>Borboleta</t>
        </is>
      </c>
      <c r="F42" s="9" t="inlineStr">
        <is>
          <t>AllOut</t>
        </is>
      </c>
      <c r="G42" s="9" t="inlineStr">
        <is>
          <t>SM</t>
        </is>
      </c>
      <c r="H42" s="9" t="n">
        <v>10.2</v>
      </c>
      <c r="I42" s="9" t="n">
        <v>56.1</v>
      </c>
      <c r="J42" s="9" t="n">
        <v>23.5</v>
      </c>
      <c r="K42" s="9">
        <f>IF(AND(D42&lt;&gt;"",H42&lt;&gt;""),ROUND(D42/H42,3),"")</f>
        <v/>
      </c>
      <c r="L42" s="9">
        <f>IF(AND(K42&lt;&gt;"",I42&lt;&gt;""),ROUND(K42/(I42/60),2),"")</f>
        <v/>
      </c>
      <c r="M42" s="9">
        <f>IF(AND(K42&lt;&gt;"",L42&lt;&gt;""),ROUND(K42*L42,3),"")</f>
        <v/>
      </c>
      <c r="N42" s="9" t="n">
        <v>1.999</v>
      </c>
      <c r="O42" s="9" t="n"/>
      <c r="P42" s="9" t="inlineStr"/>
      <c r="Q42" s="9" t="inlineStr"/>
      <c r="R42" s="9" t="inlineStr">
        <is>
          <t>bo=23.5m</t>
        </is>
      </c>
    </row>
    <row r="43" ht="18" customHeight="1">
      <c r="A43" s="10" t="inlineStr">
        <is>
          <t>2026-04-13</t>
        </is>
      </c>
      <c r="B43" s="10" t="inlineStr">
        <is>
          <t>COTP_LONGA</t>
        </is>
      </c>
      <c r="C43" s="10" t="inlineStr">
        <is>
          <t>30 Bo SM AllOut S1R3</t>
        </is>
      </c>
      <c r="D43" s="10" t="n">
        <v>30</v>
      </c>
      <c r="E43" s="10" t="inlineStr">
        <is>
          <t>Borboleta</t>
        </is>
      </c>
      <c r="F43" s="10" t="inlineStr">
        <is>
          <t>AllOut</t>
        </is>
      </c>
      <c r="G43" s="10" t="inlineStr">
        <is>
          <t>SM</t>
        </is>
      </c>
      <c r="H43" s="10" t="n">
        <v>9.6</v>
      </c>
      <c r="I43" s="10" t="n">
        <v>59.2</v>
      </c>
      <c r="J43" s="10" t="n">
        <v>23</v>
      </c>
      <c r="K43" s="10">
        <f>IF(AND(D43&lt;&gt;"",H43&lt;&gt;""),ROUND(D43/H43,3),"")</f>
        <v/>
      </c>
      <c r="L43" s="10">
        <f>IF(AND(K43&lt;&gt;"",I43&lt;&gt;""),ROUND(K43/(I43/60),2),"")</f>
        <v/>
      </c>
      <c r="M43" s="10">
        <f>IF(AND(K43&lt;&gt;"",L43&lt;&gt;""),ROUND(K43*L43,3),"")</f>
        <v/>
      </c>
      <c r="N43" s="10" t="n">
        <v>2.188</v>
      </c>
      <c r="O43" s="10" t="n"/>
      <c r="P43" s="10" t="inlineStr"/>
      <c r="Q43" s="10" t="inlineStr"/>
      <c r="R43" s="10" t="inlineStr">
        <is>
          <t>bo=23.0m</t>
        </is>
      </c>
    </row>
    <row r="44" ht="18" customHeight="1">
      <c r="A44" s="9" t="inlineStr">
        <is>
          <t>2026-04-13</t>
        </is>
      </c>
      <c r="B44" s="9" t="inlineStr">
        <is>
          <t>COTP_LONGA</t>
        </is>
      </c>
      <c r="C44" s="9" t="inlineStr">
        <is>
          <t>30 Bo SM AllOut S2R1</t>
        </is>
      </c>
      <c r="D44" s="9" t="n">
        <v>30</v>
      </c>
      <c r="E44" s="9" t="inlineStr">
        <is>
          <t>Borboleta</t>
        </is>
      </c>
      <c r="F44" s="9" t="inlineStr">
        <is>
          <t>AllOut</t>
        </is>
      </c>
      <c r="G44" s="9" t="inlineStr">
        <is>
          <t>SM</t>
        </is>
      </c>
      <c r="H44" s="9" t="n">
        <v>10.3</v>
      </c>
      <c r="I44" s="9" t="n">
        <v>57.7</v>
      </c>
      <c r="J44" s="9" t="n">
        <v>23.5</v>
      </c>
      <c r="K44" s="9">
        <f>IF(AND(D44&lt;&gt;"",H44&lt;&gt;""),ROUND(D44/H44,3),"")</f>
        <v/>
      </c>
      <c r="L44" s="9">
        <f>IF(AND(K44&lt;&gt;"",I44&lt;&gt;""),ROUND(K44/(I44/60),2),"")</f>
        <v/>
      </c>
      <c r="M44" s="9">
        <f>IF(AND(K44&lt;&gt;"",L44&lt;&gt;""),ROUND(K44*L44,3),"")</f>
        <v/>
      </c>
      <c r="N44" s="9" t="n">
        <v>1.979</v>
      </c>
      <c r="O44" s="9" t="n"/>
      <c r="P44" s="9" t="inlineStr"/>
      <c r="Q44" s="9" t="inlineStr"/>
      <c r="R44" s="9" t="inlineStr">
        <is>
          <t>bo=23.5m</t>
        </is>
      </c>
    </row>
    <row r="45" ht="18" customHeight="1">
      <c r="A45" s="10" t="inlineStr">
        <is>
          <t>2026-04-13</t>
        </is>
      </c>
      <c r="B45" s="10" t="inlineStr">
        <is>
          <t>COTP_LONGA</t>
        </is>
      </c>
      <c r="C45" s="10" t="inlineStr">
        <is>
          <t>30 Bo SM AllOut S2R2</t>
        </is>
      </c>
      <c r="D45" s="10" t="n">
        <v>30</v>
      </c>
      <c r="E45" s="10" t="inlineStr">
        <is>
          <t>Borboleta</t>
        </is>
      </c>
      <c r="F45" s="10" t="inlineStr">
        <is>
          <t>AllOut</t>
        </is>
      </c>
      <c r="G45" s="10" t="inlineStr">
        <is>
          <t>SM</t>
        </is>
      </c>
      <c r="H45" s="10" t="n">
        <v>10.4</v>
      </c>
      <c r="I45" s="10" t="n">
        <v>56.3</v>
      </c>
      <c r="J45" s="10" t="n">
        <v>23.5</v>
      </c>
      <c r="K45" s="10">
        <f>IF(AND(D45&lt;&gt;"",H45&lt;&gt;""),ROUND(D45/H45,3),"")</f>
        <v/>
      </c>
      <c r="L45" s="10">
        <f>IF(AND(K45&lt;&gt;"",I45&lt;&gt;""),ROUND(K45/(I45/60),2),"")</f>
        <v/>
      </c>
      <c r="M45" s="10">
        <f>IF(AND(K45&lt;&gt;"",L45&lt;&gt;""),ROUND(K45*L45,3),"")</f>
        <v/>
      </c>
      <c r="N45" s="10" t="n">
        <v>1.96</v>
      </c>
      <c r="O45" s="10" t="n"/>
      <c r="P45" s="10" t="inlineStr"/>
      <c r="Q45" s="10" t="inlineStr"/>
      <c r="R45" s="10" t="inlineStr">
        <is>
          <t>bo=23.5m</t>
        </is>
      </c>
    </row>
    <row r="46" ht="18" customHeight="1">
      <c r="A46" s="9" t="inlineStr">
        <is>
          <t>2026-04-13</t>
        </is>
      </c>
      <c r="B46" s="9" t="inlineStr">
        <is>
          <t>COTP_LONGA</t>
        </is>
      </c>
      <c r="C46" s="9" t="inlineStr">
        <is>
          <t>30 Bo SM AllOut S2R3</t>
        </is>
      </c>
      <c r="D46" s="9" t="n">
        <v>30</v>
      </c>
      <c r="E46" s="9" t="inlineStr">
        <is>
          <t>Borboleta</t>
        </is>
      </c>
      <c r="F46" s="9" t="inlineStr">
        <is>
          <t>AllOut</t>
        </is>
      </c>
      <c r="G46" s="9" t="inlineStr">
        <is>
          <t>SM</t>
        </is>
      </c>
      <c r="H46" s="9" t="n">
        <v>10.4</v>
      </c>
      <c r="I46" s="9" t="n">
        <v>55.7</v>
      </c>
      <c r="J46" s="9" t="n">
        <v>23.5</v>
      </c>
      <c r="K46" s="9">
        <f>IF(AND(D46&lt;&gt;"",H46&lt;&gt;""),ROUND(D46/H46,3),"")</f>
        <v/>
      </c>
      <c r="L46" s="9">
        <f>IF(AND(K46&lt;&gt;"",I46&lt;&gt;""),ROUND(K46/(I46/60),2),"")</f>
        <v/>
      </c>
      <c r="M46" s="9">
        <f>IF(AND(K46&lt;&gt;"",L46&lt;&gt;""),ROUND(K46*L46,3),"")</f>
        <v/>
      </c>
      <c r="N46" s="9" t="n">
        <v>1.96</v>
      </c>
      <c r="O46" s="9" t="n"/>
      <c r="P46" s="9" t="inlineStr"/>
      <c r="Q46" s="9" t="inlineStr"/>
      <c r="R46" s="9" t="inlineStr">
        <is>
          <t>bo=23.5m</t>
        </is>
      </c>
    </row>
    <row r="47" ht="18" customHeight="1">
      <c r="A47" s="10" t="inlineStr">
        <is>
          <t>2026-04-13</t>
        </is>
      </c>
      <c r="B47" s="10" t="inlineStr">
        <is>
          <t>COTP_LONGA</t>
        </is>
      </c>
      <c r="C47" s="10" t="inlineStr">
        <is>
          <t>30 Bo SM AllOut S3R1</t>
        </is>
      </c>
      <c r="D47" s="10" t="n">
        <v>30</v>
      </c>
      <c r="E47" s="10" t="inlineStr">
        <is>
          <t>Borboleta</t>
        </is>
      </c>
      <c r="F47" s="10" t="inlineStr">
        <is>
          <t>AllOut</t>
        </is>
      </c>
      <c r="G47" s="10" t="inlineStr">
        <is>
          <t>SM</t>
        </is>
      </c>
      <c r="H47" s="10" t="n">
        <v>10.7</v>
      </c>
      <c r="I47" s="10" t="n">
        <v>56.1</v>
      </c>
      <c r="J47" s="10" t="n">
        <v>24</v>
      </c>
      <c r="K47" s="10">
        <f>IF(AND(D47&lt;&gt;"",H47&lt;&gt;""),ROUND(D47/H47,3),"")</f>
        <v/>
      </c>
      <c r="L47" s="10">
        <f>IF(AND(K47&lt;&gt;"",I47&lt;&gt;""),ROUND(K47/(I47/60),2),"")</f>
        <v/>
      </c>
      <c r="M47" s="10">
        <f>IF(AND(K47&lt;&gt;"",L47&lt;&gt;""),ROUND(K47*L47,3),"")</f>
        <v/>
      </c>
      <c r="N47" s="10" t="n">
        <v>1.842</v>
      </c>
      <c r="O47" s="10" t="n"/>
      <c r="P47" s="10" t="inlineStr"/>
      <c r="Q47" s="10" t="inlineStr"/>
      <c r="R47" s="10" t="inlineStr">
        <is>
          <t>bo=24.0m — ABAIXO ref</t>
        </is>
      </c>
    </row>
    <row r="48" ht="18" customHeight="1">
      <c r="A48" s="9" t="inlineStr">
        <is>
          <t>2026-04-13</t>
        </is>
      </c>
      <c r="B48" s="9" t="inlineStr">
        <is>
          <t>COTP_LONGA</t>
        </is>
      </c>
      <c r="C48" s="9" t="inlineStr">
        <is>
          <t>30 Bo SM AllOut S3R2</t>
        </is>
      </c>
      <c r="D48" s="9" t="n">
        <v>30</v>
      </c>
      <c r="E48" s="9" t="inlineStr">
        <is>
          <t>Borboleta</t>
        </is>
      </c>
      <c r="F48" s="9" t="inlineStr">
        <is>
          <t>AllOut</t>
        </is>
      </c>
      <c r="G48" s="9" t="inlineStr">
        <is>
          <t>SM</t>
        </is>
      </c>
      <c r="H48" s="9" t="n">
        <v>11.1</v>
      </c>
      <c r="I48" s="9" t="n">
        <v>56.8</v>
      </c>
      <c r="J48" s="9" t="n">
        <v>24.7</v>
      </c>
      <c r="K48" s="9">
        <f>IF(AND(D48&lt;&gt;"",H48&lt;&gt;""),ROUND(D48/H48,3),"")</f>
        <v/>
      </c>
      <c r="L48" s="9">
        <f>IF(AND(K48&lt;&gt;"",I48&lt;&gt;""),ROUND(K48/(I48/60),2),"")</f>
        <v/>
      </c>
      <c r="M48" s="9">
        <f>IF(AND(K48&lt;&gt;"",L48&lt;&gt;""),ROUND(K48*L48,3),"")</f>
        <v/>
      </c>
      <c r="N48" s="9" t="n">
        <v>1.68</v>
      </c>
      <c r="O48" s="9" t="n"/>
      <c r="P48" s="9" t="inlineStr"/>
      <c r="Q48" s="9" t="inlineStr"/>
      <c r="R48" s="9" t="inlineStr">
        <is>
          <t>bo=24.7m — ABAIXO ref</t>
        </is>
      </c>
    </row>
    <row r="49" ht="18" customHeight="1">
      <c r="A49" s="10" t="inlineStr">
        <is>
          <t>2026-04-13</t>
        </is>
      </c>
      <c r="B49" s="10" t="inlineStr">
        <is>
          <t>COTP_LONGA</t>
        </is>
      </c>
      <c r="C49" s="10" t="inlineStr">
        <is>
          <t>30 Bo SM AllOut S3R3</t>
        </is>
      </c>
      <c r="D49" s="10" t="n">
        <v>30</v>
      </c>
      <c r="E49" s="10" t="inlineStr">
        <is>
          <t>Borboleta</t>
        </is>
      </c>
      <c r="F49" s="10" t="inlineStr">
        <is>
          <t>AllOut</t>
        </is>
      </c>
      <c r="G49" s="10" t="inlineStr">
        <is>
          <t>SM</t>
        </is>
      </c>
      <c r="H49" s="10" t="n">
        <v>11</v>
      </c>
      <c r="I49" s="10" t="n">
        <v>55.5</v>
      </c>
      <c r="J49" s="10" t="n">
        <v>24.7</v>
      </c>
      <c r="K49" s="10">
        <f>IF(AND(D49&lt;&gt;"",H49&lt;&gt;""),ROUND(D49/H49,3),"")</f>
        <v/>
      </c>
      <c r="L49" s="10">
        <f>IF(AND(K49&lt;&gt;"",I49&lt;&gt;""),ROUND(K49/(I49/60),2),"")</f>
        <v/>
      </c>
      <c r="M49" s="10">
        <f>IF(AND(K49&lt;&gt;"",L49&lt;&gt;""),ROUND(K49*L49,3),"")</f>
        <v/>
      </c>
      <c r="N49" s="10" t="n">
        <v>1.697</v>
      </c>
      <c r="O49" s="10" t="n"/>
      <c r="P49" s="10" t="inlineStr"/>
      <c r="Q49" s="10" t="inlineStr"/>
      <c r="R49" s="10" t="inlineStr">
        <is>
          <t>bo=24.7m — ABAIXO ref</t>
        </is>
      </c>
    </row>
    <row r="50" ht="18" customHeight="1">
      <c r="A50" s="9" t="inlineStr">
        <is>
          <t>2026-04-13</t>
        </is>
      </c>
      <c r="B50" s="9" t="inlineStr">
        <is>
          <t>COTP_LONGA</t>
        </is>
      </c>
      <c r="C50" s="9" t="inlineStr">
        <is>
          <t>30 Bo SM AllOut S4R1</t>
        </is>
      </c>
      <c r="D50" s="9" t="n">
        <v>30</v>
      </c>
      <c r="E50" s="9" t="inlineStr">
        <is>
          <t>Borboleta</t>
        </is>
      </c>
      <c r="F50" s="9" t="inlineStr">
        <is>
          <t>AllOut</t>
        </is>
      </c>
      <c r="G50" s="9" t="inlineStr">
        <is>
          <t>SM</t>
        </is>
      </c>
      <c r="H50" s="9" t="n">
        <v>10.6</v>
      </c>
      <c r="I50" s="9" t="n">
        <v>56.8</v>
      </c>
      <c r="J50" s="9" t="n">
        <v>24.8</v>
      </c>
      <c r="K50" s="9">
        <f>IF(AND(D50&lt;&gt;"",H50&lt;&gt;""),ROUND(D50/H50,3),"")</f>
        <v/>
      </c>
      <c r="L50" s="9">
        <f>IF(AND(K50&lt;&gt;"",I50&lt;&gt;""),ROUND(K50/(I50/60),2),"")</f>
        <v/>
      </c>
      <c r="M50" s="9">
        <f>IF(AND(K50&lt;&gt;"",L50&lt;&gt;""),ROUND(K50*L50,3),"")</f>
        <v/>
      </c>
      <c r="N50" s="9" t="n">
        <v>1.745</v>
      </c>
      <c r="O50" s="9" t="n"/>
      <c r="P50" s="9" t="inlineStr"/>
      <c r="Q50" s="9" t="inlineStr"/>
      <c r="R50" s="9" t="inlineStr">
        <is>
          <t>bo=24.8m — ABAIXO ref</t>
        </is>
      </c>
    </row>
    <row r="51" ht="18" customHeight="1">
      <c r="A51" s="10" t="inlineStr">
        <is>
          <t>2026-04-13</t>
        </is>
      </c>
      <c r="B51" s="10" t="inlineStr">
        <is>
          <t>COTP_LONGA</t>
        </is>
      </c>
      <c r="C51" s="10" t="inlineStr">
        <is>
          <t>30 Bo SM AllOut S4R2</t>
        </is>
      </c>
      <c r="D51" s="10" t="n">
        <v>30</v>
      </c>
      <c r="E51" s="10" t="inlineStr">
        <is>
          <t>Borboleta</t>
        </is>
      </c>
      <c r="F51" s="10" t="inlineStr">
        <is>
          <t>AllOut</t>
        </is>
      </c>
      <c r="G51" s="10" t="inlineStr">
        <is>
          <t>SM</t>
        </is>
      </c>
      <c r="H51" s="10" t="n">
        <v>11.3</v>
      </c>
      <c r="I51" s="10" t="n">
        <v>53.3</v>
      </c>
      <c r="J51" s="10" t="n">
        <v>24.8</v>
      </c>
      <c r="K51" s="10">
        <f>IF(AND(D51&lt;&gt;"",H51&lt;&gt;""),ROUND(D51/H51,3),"")</f>
        <v/>
      </c>
      <c r="L51" s="10">
        <f>IF(AND(K51&lt;&gt;"",I51&lt;&gt;""),ROUND(K51/(I51/60),2),"")</f>
        <v/>
      </c>
      <c r="M51" s="10">
        <f>IF(AND(K51&lt;&gt;"",L51&lt;&gt;""),ROUND(K51*L51,3),"")</f>
        <v/>
      </c>
      <c r="N51" s="10" t="n">
        <v>1.637</v>
      </c>
      <c r="O51" s="10" t="n"/>
      <c r="P51" s="10" t="inlineStr"/>
      <c r="Q51" s="10" t="inlineStr"/>
      <c r="R51" s="10" t="inlineStr">
        <is>
          <t>bo=24.8m — ABAIXO ref</t>
        </is>
      </c>
    </row>
    <row r="52" ht="18" customHeight="1">
      <c r="A52" s="9" t="inlineStr">
        <is>
          <t>2026-04-13</t>
        </is>
      </c>
      <c r="B52" s="9" t="inlineStr">
        <is>
          <t>COTP_LONGA</t>
        </is>
      </c>
      <c r="C52" s="9" t="inlineStr">
        <is>
          <t>30 Bo SM AllOut S4R3</t>
        </is>
      </c>
      <c r="D52" s="9" t="n">
        <v>30</v>
      </c>
      <c r="E52" s="9" t="inlineStr">
        <is>
          <t>Borboleta</t>
        </is>
      </c>
      <c r="F52" s="9" t="inlineStr">
        <is>
          <t>AllOut</t>
        </is>
      </c>
      <c r="G52" s="9" t="inlineStr">
        <is>
          <t>SM</t>
        </is>
      </c>
      <c r="H52" s="9" t="n">
        <v>11.3</v>
      </c>
      <c r="I52" s="9" t="n">
        <v>54</v>
      </c>
      <c r="J52" s="9" t="n">
        <v>23.8</v>
      </c>
      <c r="K52" s="9">
        <f>IF(AND(D52&lt;&gt;"",H52&lt;&gt;""),ROUND(D52/H52,3),"")</f>
        <v/>
      </c>
      <c r="L52" s="9">
        <f>IF(AND(K52&lt;&gt;"",I52&lt;&gt;""),ROUND(K52/(I52/60),2),"")</f>
        <v/>
      </c>
      <c r="M52" s="9">
        <f>IF(AND(K52&lt;&gt;"",L52&lt;&gt;""),ROUND(K52*L52,3),"")</f>
        <v/>
      </c>
      <c r="N52" s="9" t="n">
        <v>1.769</v>
      </c>
      <c r="O52" s="9" t="n"/>
      <c r="P52" s="9" t="inlineStr"/>
      <c r="Q52" s="9" t="inlineStr"/>
      <c r="R52" s="9" t="inlineStr">
        <is>
          <t>bo=23.8m — ABAIXO ref</t>
        </is>
      </c>
    </row>
    <row r="53" ht="18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>
        <f>IF(AND(D53&lt;&gt;"",H53&lt;&gt;""),ROUND(D53/H53,3),"")</f>
        <v/>
      </c>
      <c r="L53" s="10">
        <f>IF(AND(K53&lt;&gt;"",I53&lt;&gt;""),ROUND(K53/(I53/60),2),"")</f>
        <v/>
      </c>
      <c r="M53" s="10">
        <f>IF(AND(K53&lt;&gt;"",L53&lt;&gt;""),ROUND(K53*L53,3),"")</f>
        <v/>
      </c>
      <c r="N53" s="10" t="n"/>
      <c r="O53" s="10" t="n"/>
      <c r="P53" s="10" t="n"/>
      <c r="Q53" s="10" t="n"/>
      <c r="R53" s="10" t="n"/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>
        <f>IF(AND(D54&lt;&gt;"",H54&lt;&gt;""),ROUND(D54/H54,3),"")</f>
        <v/>
      </c>
      <c r="L54" s="9">
        <f>IF(AND(K54&lt;&gt;"",I54&lt;&gt;""),ROUND(K54/(I54/60),2),"")</f>
        <v/>
      </c>
      <c r="M54" s="9">
        <f>IF(AND(K54&lt;&gt;"",L54&lt;&gt;""),ROUND(K54*L54,3),"")</f>
        <v/>
      </c>
      <c r="N54" s="9" t="n"/>
      <c r="O54" s="9" t="n"/>
      <c r="P54" s="9" t="n"/>
      <c r="Q54" s="9" t="n"/>
      <c r="R54" s="9" t="n"/>
    </row>
    <row r="55" ht="18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>
        <f>IF(AND(D55&lt;&gt;"",H55&lt;&gt;""),ROUND(D55/H55,3),"")</f>
        <v/>
      </c>
      <c r="L55" s="10">
        <f>IF(AND(K55&lt;&gt;"",I55&lt;&gt;""),ROUND(K55/(I55/60),2),"")</f>
        <v/>
      </c>
      <c r="M55" s="10">
        <f>IF(AND(K55&lt;&gt;"",L55&lt;&gt;""),ROUND(K55*L55,3),"")</f>
        <v/>
      </c>
      <c r="N55" s="10" t="n"/>
      <c r="O55" s="10" t="n"/>
      <c r="P55" s="10" t="n"/>
      <c r="Q55" s="10" t="n"/>
      <c r="R55" s="10" t="n"/>
    </row>
    <row r="56" ht="18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>
        <f>IF(AND(D56&lt;&gt;"",H56&lt;&gt;""),ROUND(D56/H56,3),"")</f>
        <v/>
      </c>
      <c r="L56" s="9">
        <f>IF(AND(K56&lt;&gt;"",I56&lt;&gt;""),ROUND(K56/(I56/60),2),"")</f>
        <v/>
      </c>
      <c r="M56" s="9">
        <f>IF(AND(K56&lt;&gt;"",L56&lt;&gt;""),ROUND(K56*L56,3),"")</f>
        <v/>
      </c>
      <c r="N56" s="9" t="n"/>
      <c r="O56" s="9" t="n"/>
      <c r="P56" s="9" t="n"/>
      <c r="Q56" s="9" t="n"/>
      <c r="R56" s="9" t="n"/>
    </row>
    <row r="57" ht="18" customHeight="1">
      <c r="A57" s="10" t="n"/>
      <c r="B57" s="10" t="n"/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>
        <f>IF(AND(D57&lt;&gt;"",H57&lt;&gt;""),ROUND(D57/H57,3),"")</f>
        <v/>
      </c>
      <c r="L57" s="10">
        <f>IF(AND(K57&lt;&gt;"",I57&lt;&gt;""),ROUND(K57/(I57/60),2),"")</f>
        <v/>
      </c>
      <c r="M57" s="10">
        <f>IF(AND(K57&lt;&gt;"",L57&lt;&gt;""),ROUND(K57*L57,3),"")</f>
        <v/>
      </c>
      <c r="N57" s="10" t="n"/>
      <c r="O57" s="10" t="n"/>
      <c r="P57" s="10" t="n"/>
      <c r="Q57" s="10" t="n"/>
      <c r="R57" s="10" t="n"/>
    </row>
    <row r="58" ht="18" customHeight="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>
        <f>IF(AND(D58&lt;&gt;"",H58&lt;&gt;""),ROUND(D58/H58,3),"")</f>
        <v/>
      </c>
      <c r="L58" s="9">
        <f>IF(AND(K58&lt;&gt;"",I58&lt;&gt;""),ROUND(K58/(I58/60),2),"")</f>
        <v/>
      </c>
      <c r="M58" s="9">
        <f>IF(AND(K58&lt;&gt;"",L58&lt;&gt;""),ROUND(K58*L58,3),"")</f>
        <v/>
      </c>
      <c r="N58" s="9" t="n"/>
      <c r="O58" s="9" t="n"/>
      <c r="P58" s="9" t="n"/>
      <c r="Q58" s="9" t="n"/>
      <c r="R58" s="9" t="n"/>
    </row>
    <row r="59" ht="18" customHeight="1">
      <c r="A59" s="10" t="n"/>
      <c r="B59" s="10" t="n"/>
      <c r="C59" s="10" t="n"/>
      <c r="D59" s="10" t="n"/>
      <c r="E59" s="10" t="n"/>
      <c r="F59" s="10" t="n"/>
      <c r="G59" s="10" t="n"/>
      <c r="H59" s="10" t="n"/>
      <c r="I59" s="10" t="n"/>
      <c r="J59" s="10" t="n"/>
      <c r="K59" s="10">
        <f>IF(AND(D59&lt;&gt;"",H59&lt;&gt;""),ROUND(D59/H59,3),"")</f>
        <v/>
      </c>
      <c r="L59" s="10">
        <f>IF(AND(K59&lt;&gt;"",I59&lt;&gt;""),ROUND(K59/(I59/60),2),"")</f>
        <v/>
      </c>
      <c r="M59" s="10">
        <f>IF(AND(K59&lt;&gt;"",L59&lt;&gt;""),ROUND(K59*L59,3),"")</f>
        <v/>
      </c>
      <c r="N59" s="10" t="n"/>
      <c r="O59" s="10" t="n"/>
      <c r="P59" s="10" t="n"/>
      <c r="Q59" s="10" t="n"/>
      <c r="R59" s="10" t="n"/>
    </row>
    <row r="60" ht="18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>
        <f>IF(AND(D60&lt;&gt;"",H60&lt;&gt;""),ROUND(D60/H60,3),"")</f>
        <v/>
      </c>
      <c r="L60" s="9">
        <f>IF(AND(K60&lt;&gt;"",I60&lt;&gt;""),ROUND(K60/(I60/60),2),"")</f>
        <v/>
      </c>
      <c r="M60" s="9">
        <f>IF(AND(K60&lt;&gt;"",L60&lt;&gt;""),ROUND(K60*L60,3),"")</f>
        <v/>
      </c>
      <c r="N60" s="9" t="n"/>
      <c r="O60" s="9" t="n"/>
      <c r="P60" s="9" t="n"/>
      <c r="Q60" s="9" t="n"/>
      <c r="R60" s="9" t="n"/>
    </row>
    <row r="61" ht="18" customHeight="1">
      <c r="A61" s="10" t="n"/>
      <c r="B61" s="10" t="n"/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>
        <f>IF(AND(D61&lt;&gt;"",H61&lt;&gt;""),ROUND(D61/H61,3),"")</f>
        <v/>
      </c>
      <c r="L61" s="10">
        <f>IF(AND(K61&lt;&gt;"",I61&lt;&gt;""),ROUND(K61/(I61/60),2),"")</f>
        <v/>
      </c>
      <c r="M61" s="10">
        <f>IF(AND(K61&lt;&gt;"",L61&lt;&gt;""),ROUND(K61*L61,3),"")</f>
        <v/>
      </c>
      <c r="N61" s="10" t="n"/>
      <c r="O61" s="10" t="n"/>
      <c r="P61" s="10" t="n"/>
      <c r="Q61" s="10" t="n"/>
      <c r="R61" s="10" t="n"/>
    </row>
    <row r="62" ht="18" customHeight="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>
        <f>IF(AND(D62&lt;&gt;"",H62&lt;&gt;""),ROUND(D62/H62,3),"")</f>
        <v/>
      </c>
      <c r="L62" s="9">
        <f>IF(AND(K62&lt;&gt;"",I62&lt;&gt;""),ROUND(K62/(I62/60),2),"")</f>
        <v/>
      </c>
      <c r="M62" s="9">
        <f>IF(AND(K62&lt;&gt;"",L62&lt;&gt;""),ROUND(K62*L62,3),"")</f>
        <v/>
      </c>
      <c r="N62" s="9" t="n"/>
      <c r="O62" s="9" t="n"/>
      <c r="P62" s="9" t="n"/>
      <c r="Q62" s="9" t="n"/>
      <c r="R62" s="9" t="n"/>
    </row>
    <row r="63" ht="18" customHeight="1">
      <c r="A63" s="10" t="n"/>
      <c r="B63" s="10" t="n"/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>
        <f>IF(AND(D63&lt;&gt;"",H63&lt;&gt;""),ROUND(D63/H63,3),"")</f>
        <v/>
      </c>
      <c r="L63" s="10">
        <f>IF(AND(K63&lt;&gt;"",I63&lt;&gt;""),ROUND(K63/(I63/60),2),"")</f>
        <v/>
      </c>
      <c r="M63" s="10">
        <f>IF(AND(K63&lt;&gt;"",L63&lt;&gt;""),ROUND(K63*L63,3),"")</f>
        <v/>
      </c>
      <c r="N63" s="10" t="n"/>
      <c r="O63" s="10" t="n"/>
      <c r="P63" s="10" t="n"/>
      <c r="Q63" s="10" t="n"/>
      <c r="R63" s="10" t="n"/>
    </row>
    <row r="64" ht="18" customHeight="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>
        <f>IF(AND(D64&lt;&gt;"",H64&lt;&gt;""),ROUND(D64/H64,3),"")</f>
        <v/>
      </c>
      <c r="L64" s="9">
        <f>IF(AND(K64&lt;&gt;"",I64&lt;&gt;""),ROUND(K64/(I64/60),2),"")</f>
        <v/>
      </c>
      <c r="M64" s="9">
        <f>IF(AND(K64&lt;&gt;"",L64&lt;&gt;""),ROUND(K64*L64,3),"")</f>
        <v/>
      </c>
      <c r="N64" s="9" t="n"/>
      <c r="O64" s="9" t="n"/>
      <c r="P64" s="9" t="n"/>
      <c r="Q64" s="9" t="n"/>
      <c r="R64" s="9" t="n"/>
    </row>
    <row r="65" ht="18" customHeight="1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>
        <f>IF(AND(D65&lt;&gt;"",H65&lt;&gt;""),ROUND(D65/H65,3),"")</f>
        <v/>
      </c>
      <c r="L65" s="10">
        <f>IF(AND(K65&lt;&gt;"",I65&lt;&gt;""),ROUND(K65/(I65/60),2),"")</f>
        <v/>
      </c>
      <c r="M65" s="10">
        <f>IF(AND(K65&lt;&gt;"",L65&lt;&gt;""),ROUND(K65*L65,3),"")</f>
        <v/>
      </c>
      <c r="N65" s="10" t="n"/>
      <c r="O65" s="10" t="n"/>
      <c r="P65" s="10" t="n"/>
      <c r="Q65" s="10" t="n"/>
      <c r="R65" s="10" t="n"/>
    </row>
    <row r="66" ht="18" customHeight="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>
        <f>IF(AND(D66&lt;&gt;"",H66&lt;&gt;""),ROUND(D66/H66,3),"")</f>
        <v/>
      </c>
      <c r="L66" s="9">
        <f>IF(AND(K66&lt;&gt;"",I66&lt;&gt;""),ROUND(K66/(I66/60),2),"")</f>
        <v/>
      </c>
      <c r="M66" s="9">
        <f>IF(AND(K66&lt;&gt;"",L66&lt;&gt;""),ROUND(K66*L66,3),"")</f>
        <v/>
      </c>
      <c r="N66" s="9" t="n"/>
      <c r="O66" s="9" t="n"/>
      <c r="P66" s="9" t="n"/>
      <c r="Q66" s="9" t="n"/>
      <c r="R66" s="9" t="n"/>
    </row>
    <row r="67" ht="18" customHeight="1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>
        <f>IF(AND(D67&lt;&gt;"",H67&lt;&gt;""),ROUND(D67/H67,3),"")</f>
        <v/>
      </c>
      <c r="L67" s="10">
        <f>IF(AND(K67&lt;&gt;"",I67&lt;&gt;""),ROUND(K67/(I67/60),2),"")</f>
        <v/>
      </c>
      <c r="M67" s="10">
        <f>IF(AND(K67&lt;&gt;"",L67&lt;&gt;""),ROUND(K67*L67,3),"")</f>
        <v/>
      </c>
      <c r="N67" s="10" t="n"/>
      <c r="O67" s="10" t="n"/>
      <c r="P67" s="10" t="n"/>
      <c r="Q67" s="10" t="n"/>
      <c r="R67" s="10" t="n"/>
    </row>
    <row r="68" ht="18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>
        <f>IF(AND(D68&lt;&gt;"",H68&lt;&gt;""),ROUND(D68/H68,3),"")</f>
        <v/>
      </c>
      <c r="L68" s="9">
        <f>IF(AND(K68&lt;&gt;"",I68&lt;&gt;""),ROUND(K68/(I68/60),2),"")</f>
        <v/>
      </c>
      <c r="M68" s="9">
        <f>IF(AND(K68&lt;&gt;"",L68&lt;&gt;""),ROUND(K68*L68,3),"")</f>
        <v/>
      </c>
      <c r="N68" s="9" t="n"/>
      <c r="O68" s="9" t="n"/>
      <c r="P68" s="9" t="n"/>
      <c r="Q68" s="9" t="n"/>
      <c r="R68" s="9" t="n"/>
    </row>
    <row r="69" ht="18" customHeight="1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>
        <f>IF(AND(D69&lt;&gt;"",H69&lt;&gt;""),ROUND(D69/H69,3),"")</f>
        <v/>
      </c>
      <c r="L69" s="10">
        <f>IF(AND(K69&lt;&gt;"",I69&lt;&gt;""),ROUND(K69/(I69/60),2),"")</f>
        <v/>
      </c>
      <c r="M69" s="10">
        <f>IF(AND(K69&lt;&gt;"",L69&lt;&gt;""),ROUND(K69*L69,3),"")</f>
        <v/>
      </c>
      <c r="N69" s="10" t="n"/>
      <c r="O69" s="10" t="n"/>
      <c r="P69" s="10" t="n"/>
      <c r="Q69" s="10" t="n"/>
      <c r="R69" s="10" t="n"/>
    </row>
    <row r="70" ht="18" customHeight="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>
        <f>IF(AND(D70&lt;&gt;"",H70&lt;&gt;""),ROUND(D70/H70,3),"")</f>
        <v/>
      </c>
      <c r="L70" s="9">
        <f>IF(AND(K70&lt;&gt;"",I70&lt;&gt;""),ROUND(K70/(I70/60),2),"")</f>
        <v/>
      </c>
      <c r="M70" s="9">
        <f>IF(AND(K70&lt;&gt;"",L70&lt;&gt;""),ROUND(K70*L70,3),"")</f>
        <v/>
      </c>
      <c r="N70" s="9" t="n"/>
      <c r="O70" s="9" t="n"/>
      <c r="P70" s="9" t="n"/>
      <c r="Q70" s="9" t="n"/>
      <c r="R70" s="9" t="n"/>
    </row>
    <row r="71" ht="18" customHeight="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>
        <f>IF(AND(D71&lt;&gt;"",H71&lt;&gt;""),ROUND(D71/H71,3),"")</f>
        <v/>
      </c>
      <c r="L71" s="10">
        <f>IF(AND(K71&lt;&gt;"",I71&lt;&gt;""),ROUND(K71/(I71/60),2),"")</f>
        <v/>
      </c>
      <c r="M71" s="10">
        <f>IF(AND(K71&lt;&gt;"",L71&lt;&gt;""),ROUND(K71*L71,3),"")</f>
        <v/>
      </c>
      <c r="N71" s="10" t="n"/>
      <c r="O71" s="10" t="n"/>
      <c r="P71" s="10" t="n"/>
      <c r="Q71" s="10" t="n"/>
      <c r="R71" s="10" t="n"/>
    </row>
    <row r="72" ht="18" customHeight="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>
        <f>IF(AND(D72&lt;&gt;"",H72&lt;&gt;""),ROUND(D72/H72,3),"")</f>
        <v/>
      </c>
      <c r="L72" s="9">
        <f>IF(AND(K72&lt;&gt;"",I72&lt;&gt;""),ROUND(K72/(I72/60),2),"")</f>
        <v/>
      </c>
      <c r="M72" s="9">
        <f>IF(AND(K72&lt;&gt;"",L72&lt;&gt;""),ROUND(K72*L72,3),"")</f>
        <v/>
      </c>
      <c r="N72" s="9" t="n"/>
      <c r="O72" s="9" t="n"/>
      <c r="P72" s="9" t="n"/>
      <c r="Q72" s="9" t="n"/>
      <c r="R72" s="9" t="n"/>
    </row>
    <row r="73" ht="18" customHeight="1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>
        <f>IF(AND(D73&lt;&gt;"",H73&lt;&gt;""),ROUND(D73/H73,3),"")</f>
        <v/>
      </c>
      <c r="L73" s="10">
        <f>IF(AND(K73&lt;&gt;"",I73&lt;&gt;""),ROUND(K73/(I73/60),2),"")</f>
        <v/>
      </c>
      <c r="M73" s="10">
        <f>IF(AND(K73&lt;&gt;"",L73&lt;&gt;""),ROUND(K73*L73,3),"")</f>
        <v/>
      </c>
      <c r="N73" s="10" t="n"/>
      <c r="O73" s="10" t="n"/>
      <c r="P73" s="10" t="n"/>
      <c r="Q73" s="10" t="n"/>
      <c r="R73" s="10" t="n"/>
    </row>
    <row r="74" ht="18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>
        <f>IF(AND(D74&lt;&gt;"",H74&lt;&gt;""),ROUND(D74/H74,3),"")</f>
        <v/>
      </c>
      <c r="L74" s="9">
        <f>IF(AND(K74&lt;&gt;"",I74&lt;&gt;""),ROUND(K74/(I74/60),2),"")</f>
        <v/>
      </c>
      <c r="M74" s="9">
        <f>IF(AND(K74&lt;&gt;"",L74&lt;&gt;""),ROUND(K74*L74,3),"")</f>
        <v/>
      </c>
      <c r="N74" s="9" t="n"/>
      <c r="O74" s="9" t="n"/>
      <c r="P74" s="9" t="n"/>
      <c r="Q74" s="9" t="n"/>
      <c r="R74" s="9" t="n"/>
    </row>
    <row r="75" ht="18" customHeight="1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>
        <f>IF(AND(D75&lt;&gt;"",H75&lt;&gt;""),ROUND(D75/H75,3),"")</f>
        <v/>
      </c>
      <c r="L75" s="10">
        <f>IF(AND(K75&lt;&gt;"",I75&lt;&gt;""),ROUND(K75/(I75/60),2),"")</f>
        <v/>
      </c>
      <c r="M75" s="10">
        <f>IF(AND(K75&lt;&gt;"",L75&lt;&gt;""),ROUND(K75*L75,3),"")</f>
        <v/>
      </c>
      <c r="N75" s="10" t="n"/>
      <c r="O75" s="10" t="n"/>
      <c r="P75" s="10" t="n"/>
      <c r="Q75" s="10" t="n"/>
      <c r="R75" s="10" t="n"/>
    </row>
    <row r="76" ht="18" customHeight="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>
        <f>IF(AND(D76&lt;&gt;"",H76&lt;&gt;""),ROUND(D76/H76,3),"")</f>
        <v/>
      </c>
      <c r="L76" s="9">
        <f>IF(AND(K76&lt;&gt;"",I76&lt;&gt;""),ROUND(K76/(I76/60),2),"")</f>
        <v/>
      </c>
      <c r="M76" s="9">
        <f>IF(AND(K76&lt;&gt;"",L76&lt;&gt;""),ROUND(K76*L76,3),"")</f>
        <v/>
      </c>
      <c r="N76" s="9" t="n"/>
      <c r="O76" s="9" t="n"/>
      <c r="P76" s="9" t="n"/>
      <c r="Q76" s="9" t="n"/>
      <c r="R76" s="9" t="n"/>
    </row>
    <row r="77" ht="18" customHeight="1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>
        <f>IF(AND(D77&lt;&gt;"",H77&lt;&gt;""),ROUND(D77/H77,3),"")</f>
        <v/>
      </c>
      <c r="L77" s="10">
        <f>IF(AND(K77&lt;&gt;"",I77&lt;&gt;""),ROUND(K77/(I77/60),2),"")</f>
        <v/>
      </c>
      <c r="M77" s="10">
        <f>IF(AND(K77&lt;&gt;"",L77&lt;&gt;""),ROUND(K77*L77,3),"")</f>
        <v/>
      </c>
      <c r="N77" s="10" t="n"/>
      <c r="O77" s="10" t="n"/>
      <c r="P77" s="10" t="n"/>
      <c r="Q77" s="10" t="n"/>
      <c r="R77" s="10" t="n"/>
    </row>
    <row r="78" ht="18" customHeight="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>
        <f>IF(AND(D78&lt;&gt;"",H78&lt;&gt;""),ROUND(D78/H78,3),"")</f>
        <v/>
      </c>
      <c r="L78" s="9">
        <f>IF(AND(K78&lt;&gt;"",I78&lt;&gt;""),ROUND(K78/(I78/60),2),"")</f>
        <v/>
      </c>
      <c r="M78" s="9">
        <f>IF(AND(K78&lt;&gt;"",L78&lt;&gt;""),ROUND(K78*L78,3),"")</f>
        <v/>
      </c>
      <c r="N78" s="9" t="n"/>
      <c r="O78" s="9" t="n"/>
      <c r="P78" s="9" t="n"/>
      <c r="Q78" s="9" t="n"/>
      <c r="R78" s="9" t="n"/>
    </row>
    <row r="79" ht="18" customHeight="1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>
        <f>IF(AND(D79&lt;&gt;"",H79&lt;&gt;""),ROUND(D79/H79,3),"")</f>
        <v/>
      </c>
      <c r="L79" s="10">
        <f>IF(AND(K79&lt;&gt;"",I79&lt;&gt;""),ROUND(K79/(I79/60),2),"")</f>
        <v/>
      </c>
      <c r="M79" s="10">
        <f>IF(AND(K79&lt;&gt;"",L79&lt;&gt;""),ROUND(K79*L79,3),"")</f>
        <v/>
      </c>
      <c r="N79" s="10" t="n"/>
      <c r="O79" s="10" t="n"/>
      <c r="P79" s="10" t="n"/>
      <c r="Q79" s="10" t="n"/>
      <c r="R79" s="10" t="n"/>
    </row>
    <row r="80" ht="18" customHeight="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>
        <f>IF(AND(D80&lt;&gt;"",H80&lt;&gt;""),ROUND(D80/H80,3),"")</f>
        <v/>
      </c>
      <c r="L80" s="9">
        <f>IF(AND(K80&lt;&gt;"",I80&lt;&gt;""),ROUND(K80/(I80/60),2),"")</f>
        <v/>
      </c>
      <c r="M80" s="9">
        <f>IF(AND(K80&lt;&gt;"",L80&lt;&gt;""),ROUND(K80*L80,3),"")</f>
        <v/>
      </c>
      <c r="N80" s="9" t="n"/>
      <c r="O80" s="9" t="n"/>
      <c r="P80" s="9" t="n"/>
      <c r="Q80" s="9" t="n"/>
      <c r="R80" s="9" t="n"/>
    </row>
    <row r="81" ht="18" customHeight="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>
        <f>IF(AND(D81&lt;&gt;"",H81&lt;&gt;""),ROUND(D81/H81,3),"")</f>
        <v/>
      </c>
      <c r="L81" s="10">
        <f>IF(AND(K81&lt;&gt;"",I81&lt;&gt;""),ROUND(K81/(I81/60),2),"")</f>
        <v/>
      </c>
      <c r="M81" s="10">
        <f>IF(AND(K81&lt;&gt;"",L81&lt;&gt;""),ROUND(K81*L81,3),"")</f>
        <v/>
      </c>
      <c r="N81" s="10" t="n"/>
      <c r="O81" s="10" t="n"/>
      <c r="P81" s="10" t="n"/>
      <c r="Q81" s="10" t="n"/>
      <c r="R81" s="10" t="n"/>
    </row>
    <row r="82" ht="18" customHeight="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>
        <f>IF(AND(D82&lt;&gt;"",H82&lt;&gt;""),ROUND(D82/H82,3),"")</f>
        <v/>
      </c>
      <c r="L82" s="9">
        <f>IF(AND(K82&lt;&gt;"",I82&lt;&gt;""),ROUND(K82/(I82/60),2),"")</f>
        <v/>
      </c>
      <c r="M82" s="9">
        <f>IF(AND(K82&lt;&gt;"",L82&lt;&gt;""),ROUND(K82*L82,3),"")</f>
        <v/>
      </c>
      <c r="N82" s="9" t="n"/>
      <c r="O82" s="9" t="n"/>
      <c r="P82" s="9" t="n"/>
      <c r="Q82" s="9" t="n"/>
      <c r="R82" s="9" t="n"/>
    </row>
    <row r="83" ht="18" customHeight="1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>
        <f>IF(AND(D83&lt;&gt;"",H83&lt;&gt;""),ROUND(D83/H83,3),"")</f>
        <v/>
      </c>
      <c r="L83" s="10">
        <f>IF(AND(K83&lt;&gt;"",I83&lt;&gt;""),ROUND(K83/(I83/60),2),"")</f>
        <v/>
      </c>
      <c r="M83" s="10">
        <f>IF(AND(K83&lt;&gt;"",L83&lt;&gt;""),ROUND(K83*L83,3),"")</f>
        <v/>
      </c>
      <c r="N83" s="10" t="n"/>
      <c r="O83" s="10" t="n"/>
      <c r="P83" s="10" t="n"/>
      <c r="Q83" s="10" t="n"/>
      <c r="R83" s="10" t="n"/>
    </row>
    <row r="84" ht="18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>
        <f>IF(AND(D84&lt;&gt;"",H84&lt;&gt;""),ROUND(D84/H84,3),"")</f>
        <v/>
      </c>
      <c r="L84" s="9">
        <f>IF(AND(K84&lt;&gt;"",I84&lt;&gt;""),ROUND(K84/(I84/60),2),"")</f>
        <v/>
      </c>
      <c r="M84" s="9">
        <f>IF(AND(K84&lt;&gt;"",L84&lt;&gt;""),ROUND(K84*L84,3),"")</f>
        <v/>
      </c>
      <c r="N84" s="9" t="n"/>
      <c r="O84" s="9" t="n"/>
      <c r="P84" s="9" t="n"/>
      <c r="Q84" s="9" t="n"/>
      <c r="R84" s="9" t="n"/>
    </row>
    <row r="85" ht="18" customHeight="1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>
        <f>IF(AND(D85&lt;&gt;"",H85&lt;&gt;""),ROUND(D85/H85,3),"")</f>
        <v/>
      </c>
      <c r="L85" s="10">
        <f>IF(AND(K85&lt;&gt;"",I85&lt;&gt;""),ROUND(K85/(I85/60),2),"")</f>
        <v/>
      </c>
      <c r="M85" s="10">
        <f>IF(AND(K85&lt;&gt;"",L85&lt;&gt;""),ROUND(K85*L85,3),"")</f>
        <v/>
      </c>
      <c r="N85" s="10" t="n"/>
      <c r="O85" s="10" t="n"/>
      <c r="P85" s="10" t="n"/>
      <c r="Q85" s="10" t="n"/>
      <c r="R85" s="10" t="n"/>
    </row>
    <row r="86" ht="18" customHeight="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>
        <f>IF(AND(D86&lt;&gt;"",H86&lt;&gt;""),ROUND(D86/H86,3),"")</f>
        <v/>
      </c>
      <c r="L86" s="9">
        <f>IF(AND(K86&lt;&gt;"",I86&lt;&gt;""),ROUND(K86/(I86/60),2),"")</f>
        <v/>
      </c>
      <c r="M86" s="9">
        <f>IF(AND(K86&lt;&gt;"",L86&lt;&gt;""),ROUND(K86*L86,3),"")</f>
        <v/>
      </c>
      <c r="N86" s="9" t="n"/>
      <c r="O86" s="9" t="n"/>
      <c r="P86" s="9" t="n"/>
      <c r="Q86" s="9" t="n"/>
      <c r="R86" s="9" t="n"/>
    </row>
    <row r="87" ht="18" customHeight="1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>
        <f>IF(AND(D87&lt;&gt;"",H87&lt;&gt;""),ROUND(D87/H87,3),"")</f>
        <v/>
      </c>
      <c r="L87" s="10">
        <f>IF(AND(K87&lt;&gt;"",I87&lt;&gt;""),ROUND(K87/(I87/60),2),"")</f>
        <v/>
      </c>
      <c r="M87" s="10">
        <f>IF(AND(K87&lt;&gt;"",L87&lt;&gt;""),ROUND(K87*L87,3),"")</f>
        <v/>
      </c>
      <c r="N87" s="10" t="n"/>
      <c r="O87" s="10" t="n"/>
      <c r="P87" s="10" t="n"/>
      <c r="Q87" s="10" t="n"/>
      <c r="R87" s="10" t="n"/>
    </row>
    <row r="88" ht="18" customHeight="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>
        <f>IF(AND(D88&lt;&gt;"",H88&lt;&gt;""),ROUND(D88/H88,3),"")</f>
        <v/>
      </c>
      <c r="L88" s="9">
        <f>IF(AND(K88&lt;&gt;"",I88&lt;&gt;""),ROUND(K88/(I88/60),2),"")</f>
        <v/>
      </c>
      <c r="M88" s="9">
        <f>IF(AND(K88&lt;&gt;"",L88&lt;&gt;""),ROUND(K88*L88,3),"")</f>
        <v/>
      </c>
      <c r="N88" s="9" t="n"/>
      <c r="O88" s="9" t="n"/>
      <c r="P88" s="9" t="n"/>
      <c r="Q88" s="9" t="n"/>
      <c r="R88" s="9" t="n"/>
    </row>
    <row r="89" ht="18" customHeight="1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>
        <f>IF(AND(D89&lt;&gt;"",H89&lt;&gt;""),ROUND(D89/H89,3),"")</f>
        <v/>
      </c>
      <c r="L89" s="10">
        <f>IF(AND(K89&lt;&gt;"",I89&lt;&gt;""),ROUND(K89/(I89/60),2),"")</f>
        <v/>
      </c>
      <c r="M89" s="10">
        <f>IF(AND(K89&lt;&gt;"",L89&lt;&gt;""),ROUND(K89*L89,3),"")</f>
        <v/>
      </c>
      <c r="N89" s="10" t="n"/>
      <c r="O89" s="10" t="n"/>
      <c r="P89" s="10" t="n"/>
      <c r="Q89" s="10" t="n"/>
      <c r="R89" s="10" t="n"/>
    </row>
    <row r="90" ht="18" customHeight="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>
        <f>IF(AND(D90&lt;&gt;"",H90&lt;&gt;""),ROUND(D90/H90,3),"")</f>
        <v/>
      </c>
      <c r="L90" s="9">
        <f>IF(AND(K90&lt;&gt;"",I90&lt;&gt;""),ROUND(K90/(I90/60),2),"")</f>
        <v/>
      </c>
      <c r="M90" s="9">
        <f>IF(AND(K90&lt;&gt;"",L90&lt;&gt;""),ROUND(K90*L90,3),"")</f>
        <v/>
      </c>
      <c r="N90" s="9" t="n"/>
      <c r="O90" s="9" t="n"/>
      <c r="P90" s="9" t="n"/>
      <c r="Q90" s="9" t="n"/>
      <c r="R90" s="9" t="n"/>
    </row>
    <row r="91" ht="18" customHeight="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>
        <f>IF(AND(D91&lt;&gt;"",H91&lt;&gt;""),ROUND(D91/H91,3),"")</f>
        <v/>
      </c>
      <c r="L91" s="10">
        <f>IF(AND(K91&lt;&gt;"",I91&lt;&gt;""),ROUND(K91/(I91/60),2),"")</f>
        <v/>
      </c>
      <c r="M91" s="10">
        <f>IF(AND(K91&lt;&gt;"",L91&lt;&gt;""),ROUND(K91*L91,3),"")</f>
        <v/>
      </c>
      <c r="N91" s="10" t="n"/>
      <c r="O91" s="10" t="n"/>
      <c r="P91" s="10" t="n"/>
      <c r="Q91" s="10" t="n"/>
      <c r="R91" s="10" t="n"/>
    </row>
    <row r="92" ht="18" customHeight="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>
        <f>IF(AND(D92&lt;&gt;"",H92&lt;&gt;""),ROUND(D92/H92,3),"")</f>
        <v/>
      </c>
      <c r="L92" s="9">
        <f>IF(AND(K92&lt;&gt;"",I92&lt;&gt;""),ROUND(K92/(I92/60),2),"")</f>
        <v/>
      </c>
      <c r="M92" s="9">
        <f>IF(AND(K92&lt;&gt;"",L92&lt;&gt;""),ROUND(K92*L92,3),"")</f>
        <v/>
      </c>
      <c r="N92" s="9" t="n"/>
      <c r="O92" s="9" t="n"/>
      <c r="P92" s="9" t="n"/>
      <c r="Q92" s="9" t="n"/>
      <c r="R92" s="9" t="n"/>
    </row>
    <row r="93" ht="18" customHeight="1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>
        <f>IF(AND(D93&lt;&gt;"",H93&lt;&gt;""),ROUND(D93/H93,3),"")</f>
        <v/>
      </c>
      <c r="L93" s="10">
        <f>IF(AND(K93&lt;&gt;"",I93&lt;&gt;""),ROUND(K93/(I93/60),2),"")</f>
        <v/>
      </c>
      <c r="M93" s="10">
        <f>IF(AND(K93&lt;&gt;"",L93&lt;&gt;""),ROUND(K93*L93,3),"")</f>
        <v/>
      </c>
      <c r="N93" s="10" t="n"/>
      <c r="O93" s="10" t="n"/>
      <c r="P93" s="10" t="n"/>
      <c r="Q93" s="10" t="n"/>
      <c r="R93" s="10" t="n"/>
    </row>
    <row r="94" ht="18" customHeight="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>
        <f>IF(AND(D94&lt;&gt;"",H94&lt;&gt;""),ROUND(D94/H94,3),"")</f>
        <v/>
      </c>
      <c r="L94" s="9">
        <f>IF(AND(K94&lt;&gt;"",I94&lt;&gt;""),ROUND(K94/(I94/60),2),"")</f>
        <v/>
      </c>
      <c r="M94" s="9">
        <f>IF(AND(K94&lt;&gt;"",L94&lt;&gt;""),ROUND(K94*L94,3),"")</f>
        <v/>
      </c>
      <c r="N94" s="9" t="n"/>
      <c r="O94" s="9" t="n"/>
      <c r="P94" s="9" t="n"/>
      <c r="Q94" s="9" t="n"/>
      <c r="R94" s="9" t="n"/>
    </row>
    <row r="95" ht="18" customHeight="1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>
        <f>IF(AND(D95&lt;&gt;"",H95&lt;&gt;""),ROUND(D95/H95,3),"")</f>
        <v/>
      </c>
      <c r="L95" s="10">
        <f>IF(AND(K95&lt;&gt;"",I95&lt;&gt;""),ROUND(K95/(I95/60),2),"")</f>
        <v/>
      </c>
      <c r="M95" s="10">
        <f>IF(AND(K95&lt;&gt;"",L95&lt;&gt;""),ROUND(K95*L95,3),"")</f>
        <v/>
      </c>
      <c r="N95" s="10" t="n"/>
      <c r="O95" s="10" t="n"/>
      <c r="P95" s="10" t="n"/>
      <c r="Q95" s="10" t="n"/>
      <c r="R95" s="10" t="n"/>
    </row>
    <row r="96" ht="18" customHeight="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>
        <f>IF(AND(D96&lt;&gt;"",H96&lt;&gt;""),ROUND(D96/H96,3),"")</f>
        <v/>
      </c>
      <c r="L96" s="9">
        <f>IF(AND(K96&lt;&gt;"",I96&lt;&gt;""),ROUND(K96/(I96/60),2),"")</f>
        <v/>
      </c>
      <c r="M96" s="9">
        <f>IF(AND(K96&lt;&gt;"",L96&lt;&gt;""),ROUND(K96*L96,3),"")</f>
        <v/>
      </c>
      <c r="N96" s="9" t="n"/>
      <c r="O96" s="9" t="n"/>
      <c r="P96" s="9" t="n"/>
      <c r="Q96" s="9" t="n"/>
      <c r="R96" s="9" t="n"/>
    </row>
    <row r="97" ht="18" customHeight="1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>
        <f>IF(AND(D97&lt;&gt;"",H97&lt;&gt;""),ROUND(D97/H97,3),"")</f>
        <v/>
      </c>
      <c r="L97" s="10">
        <f>IF(AND(K97&lt;&gt;"",I97&lt;&gt;""),ROUND(K97/(I97/60),2),"")</f>
        <v/>
      </c>
      <c r="M97" s="10">
        <f>IF(AND(K97&lt;&gt;"",L97&lt;&gt;""),ROUND(K97*L97,3),"")</f>
        <v/>
      </c>
      <c r="N97" s="10" t="n"/>
      <c r="O97" s="10" t="n"/>
      <c r="P97" s="10" t="n"/>
      <c r="Q97" s="10" t="n"/>
      <c r="R97" s="10" t="n"/>
    </row>
    <row r="98" ht="18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>
        <f>IF(AND(D98&lt;&gt;"",H98&lt;&gt;""),ROUND(D98/H98,3),"")</f>
        <v/>
      </c>
      <c r="L98" s="9">
        <f>IF(AND(K98&lt;&gt;"",I98&lt;&gt;""),ROUND(K98/(I98/60),2),"")</f>
        <v/>
      </c>
      <c r="M98" s="9">
        <f>IF(AND(K98&lt;&gt;"",L98&lt;&gt;""),ROUND(K98*L98,3),"")</f>
        <v/>
      </c>
      <c r="N98" s="9" t="n"/>
      <c r="O98" s="9" t="n"/>
      <c r="P98" s="9" t="n"/>
      <c r="Q98" s="9" t="n"/>
      <c r="R98" s="9" t="n"/>
    </row>
    <row r="99" ht="18" customHeight="1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>
        <f>IF(AND(D99&lt;&gt;"",H99&lt;&gt;""),ROUND(D99/H99,3),"")</f>
        <v/>
      </c>
      <c r="L99" s="10">
        <f>IF(AND(K99&lt;&gt;"",I99&lt;&gt;""),ROUND(K99/(I99/60),2),"")</f>
        <v/>
      </c>
      <c r="M99" s="10">
        <f>IF(AND(K99&lt;&gt;"",L99&lt;&gt;""),ROUND(K99*L99,3),"")</f>
        <v/>
      </c>
      <c r="N99" s="10" t="n"/>
      <c r="O99" s="10" t="n"/>
      <c r="P99" s="10" t="n"/>
      <c r="Q99" s="10" t="n"/>
      <c r="R99" s="10" t="n"/>
    </row>
    <row r="100" ht="18" customHeight="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>
        <f>IF(AND(D100&lt;&gt;"",H100&lt;&gt;""),ROUND(D100/H100,3),"")</f>
        <v/>
      </c>
      <c r="L100" s="9">
        <f>IF(AND(K100&lt;&gt;"",I100&lt;&gt;""),ROUND(K100/(I100/60),2),"")</f>
        <v/>
      </c>
      <c r="M100" s="9">
        <f>IF(AND(K100&lt;&gt;"",L100&lt;&gt;""),ROUND(K100*L100,3),"")</f>
        <v/>
      </c>
      <c r="N100" s="9" t="n"/>
      <c r="O100" s="9" t="n"/>
      <c r="P100" s="9" t="n"/>
      <c r="Q100" s="9" t="n"/>
      <c r="R100" s="9" t="n"/>
    </row>
    <row r="101" ht="18" customHeight="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>
        <f>IF(AND(D101&lt;&gt;"",H101&lt;&gt;""),ROUND(D101/H101,3),"")</f>
        <v/>
      </c>
      <c r="L101" s="10">
        <f>IF(AND(K101&lt;&gt;"",I101&lt;&gt;""),ROUND(K101/(I101/60),2),"")</f>
        <v/>
      </c>
      <c r="M101" s="10">
        <f>IF(AND(K101&lt;&gt;"",L101&lt;&gt;""),ROUND(K101*L101,3),"")</f>
        <v/>
      </c>
      <c r="N101" s="10" t="n"/>
      <c r="O101" s="10" t="n"/>
      <c r="P101" s="10" t="n"/>
      <c r="Q101" s="10" t="n"/>
      <c r="R101" s="10" t="n"/>
    </row>
    <row r="102" ht="18" customHeight="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>
        <f>IF(AND(D102&lt;&gt;"",H102&lt;&gt;""),ROUND(D102/H102,3),"")</f>
        <v/>
      </c>
      <c r="L102" s="9">
        <f>IF(AND(K102&lt;&gt;"",I102&lt;&gt;""),ROUND(K102/(I102/60),2),"")</f>
        <v/>
      </c>
      <c r="M102" s="9">
        <f>IF(AND(K102&lt;&gt;"",L102&lt;&gt;""),ROUND(K102*L102,3),"")</f>
        <v/>
      </c>
      <c r="N102" s="9" t="n"/>
      <c r="O102" s="9" t="n"/>
      <c r="P102" s="9" t="n"/>
      <c r="Q102" s="9" t="n"/>
      <c r="R102" s="9" t="n"/>
    </row>
    <row r="103" ht="18" customHeight="1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>
        <f>IF(AND(D103&lt;&gt;"",H103&lt;&gt;""),ROUND(D103/H103,3),"")</f>
        <v/>
      </c>
      <c r="L103" s="10">
        <f>IF(AND(K103&lt;&gt;"",I103&lt;&gt;""),ROUND(K103/(I103/60),2),"")</f>
        <v/>
      </c>
      <c r="M103" s="10">
        <f>IF(AND(K103&lt;&gt;"",L103&lt;&gt;""),ROUND(K103*L103,3),"")</f>
        <v/>
      </c>
      <c r="N103" s="10" t="n"/>
      <c r="O103" s="10" t="n"/>
      <c r="P103" s="10" t="n"/>
      <c r="Q103" s="10" t="n"/>
      <c r="R103" s="10" t="n"/>
    </row>
    <row r="104" ht="18" customHeight="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>
        <f>IF(AND(D104&lt;&gt;"",H104&lt;&gt;""),ROUND(D104/H104,3),"")</f>
        <v/>
      </c>
      <c r="L104" s="9">
        <f>IF(AND(K104&lt;&gt;"",I104&lt;&gt;""),ROUND(K104/(I104/60),2),"")</f>
        <v/>
      </c>
      <c r="M104" s="9">
        <f>IF(AND(K104&lt;&gt;"",L104&lt;&gt;""),ROUND(K104*L104,3),"")</f>
        <v/>
      </c>
      <c r="N104" s="9" t="n"/>
      <c r="O104" s="9" t="n"/>
      <c r="P104" s="9" t="n"/>
      <c r="Q104" s="9" t="n"/>
      <c r="R104" s="9" t="n"/>
    </row>
    <row r="105" ht="18" customHeight="1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>
        <f>IF(AND(D105&lt;&gt;"",H105&lt;&gt;""),ROUND(D105/H105,3),"")</f>
        <v/>
      </c>
      <c r="L105" s="10">
        <f>IF(AND(K105&lt;&gt;"",I105&lt;&gt;""),ROUND(K105/(I105/60),2),"")</f>
        <v/>
      </c>
      <c r="M105" s="10">
        <f>IF(AND(K105&lt;&gt;"",L105&lt;&gt;""),ROUND(K105*L105,3),"")</f>
        <v/>
      </c>
      <c r="N105" s="10" t="n"/>
      <c r="O105" s="10" t="n"/>
      <c r="P105" s="10" t="n"/>
      <c r="Q105" s="10" t="n"/>
      <c r="R105" s="10" t="n"/>
    </row>
    <row r="106" ht="18" customHeight="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>
        <f>IF(AND(D106&lt;&gt;"",H106&lt;&gt;""),ROUND(D106/H106,3),"")</f>
        <v/>
      </c>
      <c r="L106" s="9">
        <f>IF(AND(K106&lt;&gt;"",I106&lt;&gt;""),ROUND(K106/(I106/60),2),"")</f>
        <v/>
      </c>
      <c r="M106" s="9">
        <f>IF(AND(K106&lt;&gt;"",L106&lt;&gt;""),ROUND(K106*L106,3),"")</f>
        <v/>
      </c>
      <c r="N106" s="9" t="n"/>
      <c r="O106" s="9" t="n"/>
      <c r="P106" s="9" t="n"/>
      <c r="Q106" s="9" t="n"/>
      <c r="R106" s="9" t="n"/>
    </row>
    <row r="107" ht="18" customHeight="1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>
        <f>IF(AND(D107&lt;&gt;"",H107&lt;&gt;""),ROUND(D107/H107,3),"")</f>
        <v/>
      </c>
      <c r="L107" s="10">
        <f>IF(AND(K107&lt;&gt;"",I107&lt;&gt;""),ROUND(K107/(I107/60),2),"")</f>
        <v/>
      </c>
      <c r="M107" s="10">
        <f>IF(AND(K107&lt;&gt;"",L107&lt;&gt;""),ROUND(K107*L107,3),"")</f>
        <v/>
      </c>
      <c r="N107" s="10" t="n"/>
      <c r="O107" s="10" t="n"/>
      <c r="P107" s="10" t="n"/>
      <c r="Q107" s="10" t="n"/>
      <c r="R107" s="10" t="n"/>
    </row>
    <row r="108" ht="18" customHeight="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>
        <f>IF(AND(D108&lt;&gt;"",H108&lt;&gt;""),ROUND(D108/H108,3),"")</f>
        <v/>
      </c>
      <c r="L108" s="9">
        <f>IF(AND(K108&lt;&gt;"",I108&lt;&gt;""),ROUND(K108/(I108/60),2),"")</f>
        <v/>
      </c>
      <c r="M108" s="9">
        <f>IF(AND(K108&lt;&gt;"",L108&lt;&gt;""),ROUND(K108*L108,3),"")</f>
        <v/>
      </c>
      <c r="N108" s="9" t="n"/>
      <c r="O108" s="9" t="n"/>
      <c r="P108" s="9" t="n"/>
      <c r="Q108" s="9" t="n"/>
      <c r="R108" s="9" t="n"/>
    </row>
    <row r="109" ht="18" customHeight="1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>
        <f>IF(AND(D109&lt;&gt;"",H109&lt;&gt;""),ROUND(D109/H109,3),"")</f>
        <v/>
      </c>
      <c r="L109" s="10">
        <f>IF(AND(K109&lt;&gt;"",I109&lt;&gt;""),ROUND(K109/(I109/60),2),"")</f>
        <v/>
      </c>
      <c r="M109" s="10">
        <f>IF(AND(K109&lt;&gt;"",L109&lt;&gt;""),ROUND(K109*L109,3),"")</f>
        <v/>
      </c>
      <c r="N109" s="10" t="n"/>
      <c r="O109" s="10" t="n"/>
      <c r="P109" s="10" t="n"/>
      <c r="Q109" s="10" t="n"/>
      <c r="R109" s="10" t="n"/>
    </row>
    <row r="110" ht="18" customHeight="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>
        <f>IF(AND(D110&lt;&gt;"",H110&lt;&gt;""),ROUND(D110/H110,3),"")</f>
        <v/>
      </c>
      <c r="L110" s="9">
        <f>IF(AND(K110&lt;&gt;"",I110&lt;&gt;""),ROUND(K110/(I110/60),2),"")</f>
        <v/>
      </c>
      <c r="M110" s="9">
        <f>IF(AND(K110&lt;&gt;"",L110&lt;&gt;""),ROUND(K110*L110,3),"")</f>
        <v/>
      </c>
      <c r="N110" s="9" t="n"/>
      <c r="O110" s="9" t="n"/>
      <c r="P110" s="9" t="n"/>
      <c r="Q110" s="9" t="n"/>
      <c r="R110" s="9" t="n"/>
    </row>
    <row r="111" ht="18" customHeight="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>
        <f>IF(AND(D111&lt;&gt;"",H111&lt;&gt;""),ROUND(D111/H111,3),"")</f>
        <v/>
      </c>
      <c r="L111" s="10">
        <f>IF(AND(K111&lt;&gt;"",I111&lt;&gt;""),ROUND(K111/(I111/60),2),"")</f>
        <v/>
      </c>
      <c r="M111" s="10">
        <f>IF(AND(K111&lt;&gt;"",L111&lt;&gt;""),ROUND(K111*L111,3),"")</f>
        <v/>
      </c>
      <c r="N111" s="10" t="n"/>
      <c r="O111" s="10" t="n"/>
      <c r="P111" s="10" t="n"/>
      <c r="Q111" s="10" t="n"/>
      <c r="R111" s="10" t="n"/>
    </row>
    <row r="112" ht="18" customHeight="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>
        <f>IF(AND(D112&lt;&gt;"",H112&lt;&gt;""),ROUND(D112/H112,3),"")</f>
        <v/>
      </c>
      <c r="L112" s="9">
        <f>IF(AND(K112&lt;&gt;"",I112&lt;&gt;""),ROUND(K112/(I112/60),2),"")</f>
        <v/>
      </c>
      <c r="M112" s="9">
        <f>IF(AND(K112&lt;&gt;"",L112&lt;&gt;""),ROUND(K112*L112,3),"")</f>
        <v/>
      </c>
      <c r="N112" s="9" t="n"/>
      <c r="O112" s="9" t="n"/>
      <c r="P112" s="9" t="n"/>
      <c r="Q112" s="9" t="n"/>
      <c r="R112" s="9" t="n"/>
    </row>
    <row r="113" ht="18" customHeight="1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>
        <f>IF(AND(D113&lt;&gt;"",H113&lt;&gt;""),ROUND(D113/H113,3),"")</f>
        <v/>
      </c>
      <c r="L113" s="10">
        <f>IF(AND(K113&lt;&gt;"",I113&lt;&gt;""),ROUND(K113/(I113/60),2),"")</f>
        <v/>
      </c>
      <c r="M113" s="10">
        <f>IF(AND(K113&lt;&gt;"",L113&lt;&gt;""),ROUND(K113*L113,3),"")</f>
        <v/>
      </c>
      <c r="N113" s="10" t="n"/>
      <c r="O113" s="10" t="n"/>
      <c r="P113" s="10" t="n"/>
      <c r="Q113" s="10" t="n"/>
      <c r="R113" s="10" t="n"/>
    </row>
    <row r="114" ht="18" customHeight="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>
        <f>IF(AND(D114&lt;&gt;"",H114&lt;&gt;""),ROUND(D114/H114,3),"")</f>
        <v/>
      </c>
      <c r="L114" s="9">
        <f>IF(AND(K114&lt;&gt;"",I114&lt;&gt;""),ROUND(K114/(I114/60),2),"")</f>
        <v/>
      </c>
      <c r="M114" s="9">
        <f>IF(AND(K114&lt;&gt;"",L114&lt;&gt;""),ROUND(K114*L114,3),"")</f>
        <v/>
      </c>
      <c r="N114" s="9" t="n"/>
      <c r="O114" s="9" t="n"/>
      <c r="P114" s="9" t="n"/>
      <c r="Q114" s="9" t="n"/>
      <c r="R114" s="9" t="n"/>
    </row>
    <row r="115" ht="18" customHeight="1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>
        <f>IF(AND(D115&lt;&gt;"",H115&lt;&gt;""),ROUND(D115/H115,3),"")</f>
        <v/>
      </c>
      <c r="L115" s="10">
        <f>IF(AND(K115&lt;&gt;"",I115&lt;&gt;""),ROUND(K115/(I115/60),2),"")</f>
        <v/>
      </c>
      <c r="M115" s="10">
        <f>IF(AND(K115&lt;&gt;"",L115&lt;&gt;""),ROUND(K115*L115,3),"")</f>
        <v/>
      </c>
      <c r="N115" s="10" t="n"/>
      <c r="O115" s="10" t="n"/>
      <c r="P115" s="10" t="n"/>
      <c r="Q115" s="10" t="n"/>
      <c r="R115" s="10" t="n"/>
    </row>
    <row r="116" ht="18" customHeight="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>
        <f>IF(AND(D116&lt;&gt;"",H116&lt;&gt;""),ROUND(D116/H116,3),"")</f>
        <v/>
      </c>
      <c r="L116" s="9">
        <f>IF(AND(K116&lt;&gt;"",I116&lt;&gt;""),ROUND(K116/(I116/60),2),"")</f>
        <v/>
      </c>
      <c r="M116" s="9">
        <f>IF(AND(K116&lt;&gt;"",L116&lt;&gt;""),ROUND(K116*L116,3),"")</f>
        <v/>
      </c>
      <c r="N116" s="9" t="n"/>
      <c r="O116" s="9" t="n"/>
      <c r="P116" s="9" t="n"/>
      <c r="Q116" s="9" t="n"/>
      <c r="R116" s="9" t="n"/>
    </row>
    <row r="117" ht="18" customHeight="1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>
        <f>IF(AND(D117&lt;&gt;"",H117&lt;&gt;""),ROUND(D117/H117,3),"")</f>
        <v/>
      </c>
      <c r="L117" s="10">
        <f>IF(AND(K117&lt;&gt;"",I117&lt;&gt;""),ROUND(K117/(I117/60),2),"")</f>
        <v/>
      </c>
      <c r="M117" s="10">
        <f>IF(AND(K117&lt;&gt;"",L117&lt;&gt;""),ROUND(K117*L117,3),"")</f>
        <v/>
      </c>
      <c r="N117" s="10" t="n"/>
      <c r="O117" s="10" t="n"/>
      <c r="P117" s="10" t="n"/>
      <c r="Q117" s="10" t="n"/>
      <c r="R117" s="10" t="n"/>
    </row>
    <row r="118" ht="18" customHeight="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>
        <f>IF(AND(D118&lt;&gt;"",H118&lt;&gt;""),ROUND(D118/H118,3),"")</f>
        <v/>
      </c>
      <c r="L118" s="9">
        <f>IF(AND(K118&lt;&gt;"",I118&lt;&gt;""),ROUND(K118/(I118/60),2),"")</f>
        <v/>
      </c>
      <c r="M118" s="9">
        <f>IF(AND(K118&lt;&gt;"",L118&lt;&gt;""),ROUND(K118*L118,3),"")</f>
        <v/>
      </c>
      <c r="N118" s="9" t="n"/>
      <c r="O118" s="9" t="n"/>
      <c r="P118" s="9" t="n"/>
      <c r="Q118" s="9" t="n"/>
      <c r="R118" s="9" t="n"/>
    </row>
    <row r="119" ht="18" customHeight="1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>
        <f>IF(AND(D119&lt;&gt;"",H119&lt;&gt;""),ROUND(D119/H119,3),"")</f>
        <v/>
      </c>
      <c r="L119" s="10">
        <f>IF(AND(K119&lt;&gt;"",I119&lt;&gt;""),ROUND(K119/(I119/60),2),"")</f>
        <v/>
      </c>
      <c r="M119" s="10">
        <f>IF(AND(K119&lt;&gt;"",L119&lt;&gt;""),ROUND(K119*L119,3),"")</f>
        <v/>
      </c>
      <c r="N119" s="10" t="n"/>
      <c r="O119" s="10" t="n"/>
      <c r="P119" s="10" t="n"/>
      <c r="Q119" s="10" t="n"/>
      <c r="R119" s="10" t="n"/>
    </row>
    <row r="120" ht="18" customHeight="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>
        <f>IF(AND(D120&lt;&gt;"",H120&lt;&gt;""),ROUND(D120/H120,3),"")</f>
        <v/>
      </c>
      <c r="L120" s="9">
        <f>IF(AND(K120&lt;&gt;"",I120&lt;&gt;""),ROUND(K120/(I120/60),2),"")</f>
        <v/>
      </c>
      <c r="M120" s="9">
        <f>IF(AND(K120&lt;&gt;"",L120&lt;&gt;""),ROUND(K120*L120,3),"")</f>
        <v/>
      </c>
      <c r="N120" s="9" t="n"/>
      <c r="O120" s="9" t="n"/>
      <c r="P120" s="9" t="n"/>
      <c r="Q120" s="9" t="n"/>
      <c r="R120" s="9" t="n"/>
    </row>
    <row r="121" ht="18" customHeight="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>
        <f>IF(AND(D121&lt;&gt;"",H121&lt;&gt;""),ROUND(D121/H121,3),"")</f>
        <v/>
      </c>
      <c r="L121" s="10">
        <f>IF(AND(K121&lt;&gt;"",I121&lt;&gt;""),ROUND(K121/(I121/60),2),"")</f>
        <v/>
      </c>
      <c r="M121" s="10">
        <f>IF(AND(K121&lt;&gt;"",L121&lt;&gt;""),ROUND(K121*L121,3),"")</f>
        <v/>
      </c>
      <c r="N121" s="10" t="n"/>
      <c r="O121" s="10" t="n"/>
      <c r="P121" s="10" t="n"/>
      <c r="Q121" s="10" t="n"/>
      <c r="R121" s="10" t="n"/>
    </row>
    <row r="122" ht="18" customHeight="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>
        <f>IF(AND(D122&lt;&gt;"",H122&lt;&gt;""),ROUND(D122/H122,3),"")</f>
        <v/>
      </c>
      <c r="L122" s="9">
        <f>IF(AND(K122&lt;&gt;"",I122&lt;&gt;""),ROUND(K122/(I122/60),2),"")</f>
        <v/>
      </c>
      <c r="M122" s="9">
        <f>IF(AND(K122&lt;&gt;"",L122&lt;&gt;""),ROUND(K122*L122,3),"")</f>
        <v/>
      </c>
      <c r="N122" s="9" t="n"/>
      <c r="O122" s="9" t="n"/>
      <c r="P122" s="9" t="n"/>
      <c r="Q122" s="9" t="n"/>
      <c r="R122" s="9" t="n"/>
    </row>
    <row r="123" ht="18" customHeight="1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>
        <f>IF(AND(D123&lt;&gt;"",H123&lt;&gt;""),ROUND(D123/H123,3),"")</f>
        <v/>
      </c>
      <c r="L123" s="10">
        <f>IF(AND(K123&lt;&gt;"",I123&lt;&gt;""),ROUND(K123/(I123/60),2),"")</f>
        <v/>
      </c>
      <c r="M123" s="10">
        <f>IF(AND(K123&lt;&gt;"",L123&lt;&gt;""),ROUND(K123*L123,3),"")</f>
        <v/>
      </c>
      <c r="N123" s="10" t="n"/>
      <c r="O123" s="10" t="n"/>
      <c r="P123" s="10" t="n"/>
      <c r="Q123" s="10" t="n"/>
      <c r="R123" s="10" t="n"/>
    </row>
    <row r="124" ht="18" customHeight="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>
        <f>IF(AND(D124&lt;&gt;"",H124&lt;&gt;""),ROUND(D124/H124,3),"")</f>
        <v/>
      </c>
      <c r="L124" s="9">
        <f>IF(AND(K124&lt;&gt;"",I124&lt;&gt;""),ROUND(K124/(I124/60),2),"")</f>
        <v/>
      </c>
      <c r="M124" s="9">
        <f>IF(AND(K124&lt;&gt;"",L124&lt;&gt;""),ROUND(K124*L124,3),"")</f>
        <v/>
      </c>
      <c r="N124" s="9" t="n"/>
      <c r="O124" s="9" t="n"/>
      <c r="P124" s="9" t="n"/>
      <c r="Q124" s="9" t="n"/>
      <c r="R124" s="9" t="n"/>
    </row>
    <row r="125" ht="18" customHeight="1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>
        <f>IF(AND(D125&lt;&gt;"",H125&lt;&gt;""),ROUND(D125/H125,3),"")</f>
        <v/>
      </c>
      <c r="L125" s="10">
        <f>IF(AND(K125&lt;&gt;"",I125&lt;&gt;""),ROUND(K125/(I125/60),2),"")</f>
        <v/>
      </c>
      <c r="M125" s="10">
        <f>IF(AND(K125&lt;&gt;"",L125&lt;&gt;""),ROUND(K125*L125,3),"")</f>
        <v/>
      </c>
      <c r="N125" s="10" t="n"/>
      <c r="O125" s="10" t="n"/>
      <c r="P125" s="10" t="n"/>
      <c r="Q125" s="10" t="n"/>
      <c r="R125" s="10" t="n"/>
    </row>
    <row r="126" ht="18" customHeight="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>
        <f>IF(AND(D126&lt;&gt;"",H126&lt;&gt;""),ROUND(D126/H126,3),"")</f>
        <v/>
      </c>
      <c r="L126" s="9">
        <f>IF(AND(K126&lt;&gt;"",I126&lt;&gt;""),ROUND(K126/(I126/60),2),"")</f>
        <v/>
      </c>
      <c r="M126" s="9">
        <f>IF(AND(K126&lt;&gt;"",L126&lt;&gt;""),ROUND(K126*L126,3),"")</f>
        <v/>
      </c>
      <c r="N126" s="9" t="n"/>
      <c r="O126" s="9" t="n"/>
      <c r="P126" s="9" t="n"/>
      <c r="Q126" s="9" t="n"/>
      <c r="R126" s="9" t="n"/>
    </row>
    <row r="127" ht="18" customHeight="1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>
        <f>IF(AND(D127&lt;&gt;"",H127&lt;&gt;""),ROUND(D127/H127,3),"")</f>
        <v/>
      </c>
      <c r="L127" s="10">
        <f>IF(AND(K127&lt;&gt;"",I127&lt;&gt;""),ROUND(K127/(I127/60),2),"")</f>
        <v/>
      </c>
      <c r="M127" s="10">
        <f>IF(AND(K127&lt;&gt;"",L127&lt;&gt;""),ROUND(K127*L127,3),"")</f>
        <v/>
      </c>
      <c r="N127" s="10" t="n"/>
      <c r="O127" s="10" t="n"/>
      <c r="P127" s="10" t="n"/>
      <c r="Q127" s="10" t="n"/>
      <c r="R127" s="10" t="n"/>
    </row>
    <row r="128" ht="18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>
        <f>IF(AND(D128&lt;&gt;"",H128&lt;&gt;""),ROUND(D128/H128,3),"")</f>
        <v/>
      </c>
      <c r="L128" s="9">
        <f>IF(AND(K128&lt;&gt;"",I128&lt;&gt;""),ROUND(K128/(I128/60),2),"")</f>
        <v/>
      </c>
      <c r="M128" s="9">
        <f>IF(AND(K128&lt;&gt;"",L128&lt;&gt;""),ROUND(K128*L128,3),"")</f>
        <v/>
      </c>
      <c r="N128" s="9" t="n"/>
      <c r="O128" s="9" t="n"/>
      <c r="P128" s="9" t="n"/>
      <c r="Q128" s="9" t="n"/>
      <c r="R128" s="9" t="n"/>
    </row>
    <row r="129" ht="18" customHeight="1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>
        <f>IF(AND(D129&lt;&gt;"",H129&lt;&gt;""),ROUND(D129/H129,3),"")</f>
        <v/>
      </c>
      <c r="L129" s="10">
        <f>IF(AND(K129&lt;&gt;"",I129&lt;&gt;""),ROUND(K129/(I129/60),2),"")</f>
        <v/>
      </c>
      <c r="M129" s="10">
        <f>IF(AND(K129&lt;&gt;"",L129&lt;&gt;""),ROUND(K129*L129,3),"")</f>
        <v/>
      </c>
      <c r="N129" s="10" t="n"/>
      <c r="O129" s="10" t="n"/>
      <c r="P129" s="10" t="n"/>
      <c r="Q129" s="10" t="n"/>
      <c r="R129" s="10" t="n"/>
    </row>
    <row r="130" ht="18" customHeight="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>
        <f>IF(AND(D130&lt;&gt;"",H130&lt;&gt;""),ROUND(D130/H130,3),"")</f>
        <v/>
      </c>
      <c r="L130" s="9">
        <f>IF(AND(K130&lt;&gt;"",I130&lt;&gt;""),ROUND(K130/(I130/60),2),"")</f>
        <v/>
      </c>
      <c r="M130" s="9">
        <f>IF(AND(K130&lt;&gt;"",L130&lt;&gt;""),ROUND(K130*L130,3),"")</f>
        <v/>
      </c>
      <c r="N130" s="9" t="n"/>
      <c r="O130" s="9" t="n"/>
      <c r="P130" s="9" t="n"/>
      <c r="Q130" s="9" t="n"/>
      <c r="R130" s="9" t="n"/>
    </row>
    <row r="131" ht="18" customHeight="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>
        <f>IF(AND(D131&lt;&gt;"",H131&lt;&gt;""),ROUND(D131/H131,3),"")</f>
        <v/>
      </c>
      <c r="L131" s="10">
        <f>IF(AND(K131&lt;&gt;"",I131&lt;&gt;""),ROUND(K131/(I131/60),2),"")</f>
        <v/>
      </c>
      <c r="M131" s="10">
        <f>IF(AND(K131&lt;&gt;"",L131&lt;&gt;""),ROUND(K131*L131,3),"")</f>
        <v/>
      </c>
      <c r="N131" s="10" t="n"/>
      <c r="O131" s="10" t="n"/>
      <c r="P131" s="10" t="n"/>
      <c r="Q131" s="10" t="n"/>
      <c r="R131" s="10" t="n"/>
    </row>
    <row r="132" ht="18" customHeight="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>
        <f>IF(AND(D132&lt;&gt;"",H132&lt;&gt;""),ROUND(D132/H132,3),"")</f>
        <v/>
      </c>
      <c r="L132" s="9">
        <f>IF(AND(K132&lt;&gt;"",I132&lt;&gt;""),ROUND(K132/(I132/60),2),"")</f>
        <v/>
      </c>
      <c r="M132" s="9">
        <f>IF(AND(K132&lt;&gt;"",L132&lt;&gt;""),ROUND(K132*L132,3),"")</f>
        <v/>
      </c>
      <c r="N132" s="9" t="n"/>
      <c r="O132" s="9" t="n"/>
      <c r="P132" s="9" t="n"/>
      <c r="Q132" s="9" t="n"/>
      <c r="R132" s="9" t="n"/>
    </row>
    <row r="133" ht="18" customHeight="1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>
        <f>IF(AND(D133&lt;&gt;"",H133&lt;&gt;""),ROUND(D133/H133,3),"")</f>
        <v/>
      </c>
      <c r="L133" s="10">
        <f>IF(AND(K133&lt;&gt;"",I133&lt;&gt;""),ROUND(K133/(I133/60),2),"")</f>
        <v/>
      </c>
      <c r="M133" s="10">
        <f>IF(AND(K133&lt;&gt;"",L133&lt;&gt;""),ROUND(K133*L133,3),"")</f>
        <v/>
      </c>
      <c r="N133" s="10" t="n"/>
      <c r="O133" s="10" t="n"/>
      <c r="P133" s="10" t="n"/>
      <c r="Q133" s="10" t="n"/>
      <c r="R133" s="10" t="n"/>
    </row>
    <row r="134" ht="18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>
        <f>IF(AND(D134&lt;&gt;"",H134&lt;&gt;""),ROUND(D134/H134,3),"")</f>
        <v/>
      </c>
      <c r="L134" s="9">
        <f>IF(AND(K134&lt;&gt;"",I134&lt;&gt;""),ROUND(K134/(I134/60),2),"")</f>
        <v/>
      </c>
      <c r="M134" s="9">
        <f>IF(AND(K134&lt;&gt;"",L134&lt;&gt;""),ROUND(K134*L134,3),"")</f>
        <v/>
      </c>
      <c r="N134" s="9" t="n"/>
      <c r="O134" s="9" t="n"/>
      <c r="P134" s="9" t="n"/>
      <c r="Q134" s="9" t="n"/>
      <c r="R134" s="9" t="n"/>
    </row>
    <row r="135" ht="18" customHeight="1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>
        <f>IF(AND(D135&lt;&gt;"",H135&lt;&gt;""),ROUND(D135/H135,3),"")</f>
        <v/>
      </c>
      <c r="L135" s="10">
        <f>IF(AND(K135&lt;&gt;"",I135&lt;&gt;""),ROUND(K135/(I135/60),2),"")</f>
        <v/>
      </c>
      <c r="M135" s="10">
        <f>IF(AND(K135&lt;&gt;"",L135&lt;&gt;""),ROUND(K135*L135,3),"")</f>
        <v/>
      </c>
      <c r="N135" s="10" t="n"/>
      <c r="O135" s="10" t="n"/>
      <c r="P135" s="10" t="n"/>
      <c r="Q135" s="10" t="n"/>
      <c r="R135" s="10" t="n"/>
    </row>
    <row r="136" ht="18" customHeight="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>
        <f>IF(AND(D136&lt;&gt;"",H136&lt;&gt;""),ROUND(D136/H136,3),"")</f>
        <v/>
      </c>
      <c r="L136" s="9">
        <f>IF(AND(K136&lt;&gt;"",I136&lt;&gt;""),ROUND(K136/(I136/60),2),"")</f>
        <v/>
      </c>
      <c r="M136" s="9">
        <f>IF(AND(K136&lt;&gt;"",L136&lt;&gt;""),ROUND(K136*L136,3),"")</f>
        <v/>
      </c>
      <c r="N136" s="9" t="n"/>
      <c r="O136" s="9" t="n"/>
      <c r="P136" s="9" t="n"/>
      <c r="Q136" s="9" t="n"/>
      <c r="R136" s="9" t="n"/>
    </row>
    <row r="137" ht="18" customHeight="1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>
        <f>IF(AND(D137&lt;&gt;"",H137&lt;&gt;""),ROUND(D137/H137,3),"")</f>
        <v/>
      </c>
      <c r="L137" s="10">
        <f>IF(AND(K137&lt;&gt;"",I137&lt;&gt;""),ROUND(K137/(I137/60),2),"")</f>
        <v/>
      </c>
      <c r="M137" s="10">
        <f>IF(AND(K137&lt;&gt;"",L137&lt;&gt;""),ROUND(K137*L137,3),"")</f>
        <v/>
      </c>
      <c r="N137" s="10" t="n"/>
      <c r="O137" s="10" t="n"/>
      <c r="P137" s="10" t="n"/>
      <c r="Q137" s="10" t="n"/>
      <c r="R137" s="10" t="n"/>
    </row>
    <row r="138" ht="18" customHeight="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>
        <f>IF(AND(D138&lt;&gt;"",H138&lt;&gt;""),ROUND(D138/H138,3),"")</f>
        <v/>
      </c>
      <c r="L138" s="9">
        <f>IF(AND(K138&lt;&gt;"",I138&lt;&gt;""),ROUND(K138/(I138/60),2),"")</f>
        <v/>
      </c>
      <c r="M138" s="9">
        <f>IF(AND(K138&lt;&gt;"",L138&lt;&gt;""),ROUND(K138*L138,3),"")</f>
        <v/>
      </c>
      <c r="N138" s="9" t="n"/>
      <c r="O138" s="9" t="n"/>
      <c r="P138" s="9" t="n"/>
      <c r="Q138" s="9" t="n"/>
      <c r="R138" s="9" t="n"/>
    </row>
    <row r="139" ht="18" customHeight="1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>
        <f>IF(AND(D139&lt;&gt;"",H139&lt;&gt;""),ROUND(D139/H139,3),"")</f>
        <v/>
      </c>
      <c r="L139" s="10">
        <f>IF(AND(K139&lt;&gt;"",I139&lt;&gt;""),ROUND(K139/(I139/60),2),"")</f>
        <v/>
      </c>
      <c r="M139" s="10">
        <f>IF(AND(K139&lt;&gt;"",L139&lt;&gt;""),ROUND(K139*L139,3),"")</f>
        <v/>
      </c>
      <c r="N139" s="10" t="n"/>
      <c r="O139" s="10" t="n"/>
      <c r="P139" s="10" t="n"/>
      <c r="Q139" s="10" t="n"/>
      <c r="R139" s="10" t="n"/>
    </row>
    <row r="140" ht="18" customHeight="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>
        <f>IF(AND(D140&lt;&gt;"",H140&lt;&gt;""),ROUND(D140/H140,3),"")</f>
        <v/>
      </c>
      <c r="L140" s="9">
        <f>IF(AND(K140&lt;&gt;"",I140&lt;&gt;""),ROUND(K140/(I140/60),2),"")</f>
        <v/>
      </c>
      <c r="M140" s="9">
        <f>IF(AND(K140&lt;&gt;"",L140&lt;&gt;""),ROUND(K140*L140,3),"")</f>
        <v/>
      </c>
      <c r="N140" s="9" t="n"/>
      <c r="O140" s="9" t="n"/>
      <c r="P140" s="9" t="n"/>
      <c r="Q140" s="9" t="n"/>
      <c r="R140" s="9" t="n"/>
    </row>
    <row r="141" ht="18" customHeight="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>
        <f>IF(AND(D141&lt;&gt;"",H141&lt;&gt;""),ROUND(D141/H141,3),"")</f>
        <v/>
      </c>
      <c r="L141" s="10">
        <f>IF(AND(K141&lt;&gt;"",I141&lt;&gt;""),ROUND(K141/(I141/60),2),"")</f>
        <v/>
      </c>
      <c r="M141" s="10">
        <f>IF(AND(K141&lt;&gt;"",L141&lt;&gt;""),ROUND(K141*L141,3),"")</f>
        <v/>
      </c>
      <c r="N141" s="10" t="n"/>
      <c r="O141" s="10" t="n"/>
      <c r="P141" s="10" t="n"/>
      <c r="Q141" s="10" t="n"/>
      <c r="R141" s="10" t="n"/>
    </row>
    <row r="142" ht="18" customHeight="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>
        <f>IF(AND(D142&lt;&gt;"",H142&lt;&gt;""),ROUND(D142/H142,3),"")</f>
        <v/>
      </c>
      <c r="L142" s="9">
        <f>IF(AND(K142&lt;&gt;"",I142&lt;&gt;""),ROUND(K142/(I142/60),2),"")</f>
        <v/>
      </c>
      <c r="M142" s="9">
        <f>IF(AND(K142&lt;&gt;"",L142&lt;&gt;""),ROUND(K142*L142,3),"")</f>
        <v/>
      </c>
      <c r="N142" s="9" t="n"/>
      <c r="O142" s="9" t="n"/>
      <c r="P142" s="9" t="n"/>
      <c r="Q142" s="9" t="n"/>
      <c r="R142" s="9" t="n"/>
    </row>
    <row r="143" ht="18" customHeight="1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>
        <f>IF(AND(D143&lt;&gt;"",H143&lt;&gt;""),ROUND(D143/H143,3),"")</f>
        <v/>
      </c>
      <c r="L143" s="10">
        <f>IF(AND(K143&lt;&gt;"",I143&lt;&gt;""),ROUND(K143/(I143/60),2),"")</f>
        <v/>
      </c>
      <c r="M143" s="10">
        <f>IF(AND(K143&lt;&gt;"",L143&lt;&gt;""),ROUND(K143*L143,3),"")</f>
        <v/>
      </c>
      <c r="N143" s="10" t="n"/>
      <c r="O143" s="10" t="n"/>
      <c r="P143" s="10" t="n"/>
      <c r="Q143" s="10" t="n"/>
      <c r="R143" s="10" t="n"/>
    </row>
    <row r="144" ht="18" customHeight="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>
        <f>IF(AND(D144&lt;&gt;"",H144&lt;&gt;""),ROUND(D144/H144,3),"")</f>
        <v/>
      </c>
      <c r="L144" s="9">
        <f>IF(AND(K144&lt;&gt;"",I144&lt;&gt;""),ROUND(K144/(I144/60),2),"")</f>
        <v/>
      </c>
      <c r="M144" s="9">
        <f>IF(AND(K144&lt;&gt;"",L144&lt;&gt;""),ROUND(K144*L144,3),"")</f>
        <v/>
      </c>
      <c r="N144" s="9" t="n"/>
      <c r="O144" s="9" t="n"/>
      <c r="P144" s="9" t="n"/>
      <c r="Q144" s="9" t="n"/>
      <c r="R144" s="9" t="n"/>
    </row>
    <row r="145" ht="18" customHeight="1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>
        <f>IF(AND(D145&lt;&gt;"",H145&lt;&gt;""),ROUND(D145/H145,3),"")</f>
        <v/>
      </c>
      <c r="L145" s="10">
        <f>IF(AND(K145&lt;&gt;"",I145&lt;&gt;""),ROUND(K145/(I145/60),2),"")</f>
        <v/>
      </c>
      <c r="M145" s="10">
        <f>IF(AND(K145&lt;&gt;"",L145&lt;&gt;""),ROUND(K145*L145,3),"")</f>
        <v/>
      </c>
      <c r="N145" s="10" t="n"/>
      <c r="O145" s="10" t="n"/>
      <c r="P145" s="10" t="n"/>
      <c r="Q145" s="10" t="n"/>
      <c r="R145" s="10" t="n"/>
    </row>
    <row r="146" ht="18" customHeight="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>
        <f>IF(AND(D146&lt;&gt;"",H146&lt;&gt;""),ROUND(D146/H146,3),"")</f>
        <v/>
      </c>
      <c r="L146" s="9">
        <f>IF(AND(K146&lt;&gt;"",I146&lt;&gt;""),ROUND(K146/(I146/60),2),"")</f>
        <v/>
      </c>
      <c r="M146" s="9">
        <f>IF(AND(K146&lt;&gt;"",L146&lt;&gt;""),ROUND(K146*L146,3),"")</f>
        <v/>
      </c>
      <c r="N146" s="9" t="n"/>
      <c r="O146" s="9" t="n"/>
      <c r="P146" s="9" t="n"/>
      <c r="Q146" s="9" t="n"/>
      <c r="R146" s="9" t="n"/>
    </row>
    <row r="147" ht="18" customHeight="1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>
        <f>IF(AND(D147&lt;&gt;"",H147&lt;&gt;""),ROUND(D147/H147,3),"")</f>
        <v/>
      </c>
      <c r="L147" s="10">
        <f>IF(AND(K147&lt;&gt;"",I147&lt;&gt;""),ROUND(K147/(I147/60),2),"")</f>
        <v/>
      </c>
      <c r="M147" s="10">
        <f>IF(AND(K147&lt;&gt;"",L147&lt;&gt;""),ROUND(K147*L147,3),"")</f>
        <v/>
      </c>
      <c r="N147" s="10" t="n"/>
      <c r="O147" s="10" t="n"/>
      <c r="P147" s="10" t="n"/>
      <c r="Q147" s="10" t="n"/>
      <c r="R147" s="10" t="n"/>
    </row>
    <row r="148" ht="18" customHeight="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>
        <f>IF(AND(D148&lt;&gt;"",H148&lt;&gt;""),ROUND(D148/H148,3),"")</f>
        <v/>
      </c>
      <c r="L148" s="9">
        <f>IF(AND(K148&lt;&gt;"",I148&lt;&gt;""),ROUND(K148/(I148/60),2),"")</f>
        <v/>
      </c>
      <c r="M148" s="9">
        <f>IF(AND(K148&lt;&gt;"",L148&lt;&gt;""),ROUND(K148*L148,3),"")</f>
        <v/>
      </c>
      <c r="N148" s="9" t="n"/>
      <c r="O148" s="9" t="n"/>
      <c r="P148" s="9" t="n"/>
      <c r="Q148" s="9" t="n"/>
      <c r="R148" s="9" t="n"/>
    </row>
    <row r="149" ht="18" customHeight="1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>
        <f>IF(AND(D149&lt;&gt;"",H149&lt;&gt;""),ROUND(D149/H149,3),"")</f>
        <v/>
      </c>
      <c r="L149" s="10">
        <f>IF(AND(K149&lt;&gt;"",I149&lt;&gt;""),ROUND(K149/(I149/60),2),"")</f>
        <v/>
      </c>
      <c r="M149" s="10">
        <f>IF(AND(K149&lt;&gt;"",L149&lt;&gt;""),ROUND(K149*L149,3),"")</f>
        <v/>
      </c>
      <c r="N149" s="10" t="n"/>
      <c r="O149" s="10" t="n"/>
      <c r="P149" s="10" t="n"/>
      <c r="Q149" s="10" t="n"/>
      <c r="R149" s="10" t="n"/>
    </row>
    <row r="150" ht="18" customHeight="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>
        <f>IF(AND(D150&lt;&gt;"",H150&lt;&gt;""),ROUND(D150/H150,3),"")</f>
        <v/>
      </c>
      <c r="L150" s="9">
        <f>IF(AND(K150&lt;&gt;"",I150&lt;&gt;""),ROUND(K150/(I150/60),2),"")</f>
        <v/>
      </c>
      <c r="M150" s="9">
        <f>IF(AND(K150&lt;&gt;"",L150&lt;&gt;""),ROUND(K150*L150,3),"")</f>
        <v/>
      </c>
      <c r="N150" s="9" t="n"/>
      <c r="O150" s="9" t="n"/>
      <c r="P150" s="9" t="n"/>
      <c r="Q150" s="9" t="n"/>
      <c r="R150" s="9" t="n"/>
    </row>
    <row r="151" ht="18" customHeight="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>
        <f>IF(AND(D151&lt;&gt;"",H151&lt;&gt;""),ROUND(D151/H151,3),"")</f>
        <v/>
      </c>
      <c r="L151" s="10">
        <f>IF(AND(K151&lt;&gt;"",I151&lt;&gt;""),ROUND(K151/(I151/60),2),"")</f>
        <v/>
      </c>
      <c r="M151" s="10">
        <f>IF(AND(K151&lt;&gt;"",L151&lt;&gt;""),ROUND(K151*L151,3),"")</f>
        <v/>
      </c>
      <c r="N151" s="10" t="n"/>
      <c r="O151" s="10" t="n"/>
      <c r="P151" s="10" t="n"/>
      <c r="Q151" s="10" t="n"/>
      <c r="R151" s="10" t="n"/>
    </row>
    <row r="152" ht="18" customHeight="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>
        <f>IF(AND(D152&lt;&gt;"",H152&lt;&gt;""),ROUND(D152/H152,3),"")</f>
        <v/>
      </c>
      <c r="L152" s="9">
        <f>IF(AND(K152&lt;&gt;"",I152&lt;&gt;""),ROUND(K152/(I152/60),2),"")</f>
        <v/>
      </c>
      <c r="M152" s="9">
        <f>IF(AND(K152&lt;&gt;"",L152&lt;&gt;""),ROUND(K152*L152,3),"")</f>
        <v/>
      </c>
      <c r="N152" s="9" t="n"/>
      <c r="O152" s="9" t="n"/>
      <c r="P152" s="9" t="n"/>
      <c r="Q152" s="9" t="n"/>
      <c r="R152" s="9" t="n"/>
    </row>
    <row r="153" ht="18" customHeight="1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>
        <f>IF(AND(D153&lt;&gt;"",H153&lt;&gt;""),ROUND(D153/H153,3),"")</f>
        <v/>
      </c>
      <c r="L153" s="10">
        <f>IF(AND(K153&lt;&gt;"",I153&lt;&gt;""),ROUND(K153/(I153/60),2),"")</f>
        <v/>
      </c>
      <c r="M153" s="10">
        <f>IF(AND(K153&lt;&gt;"",L153&lt;&gt;""),ROUND(K153*L153,3),"")</f>
        <v/>
      </c>
      <c r="N153" s="10" t="n"/>
      <c r="O153" s="10" t="n"/>
      <c r="P153" s="10" t="n"/>
      <c r="Q153" s="10" t="n"/>
      <c r="R153" s="10" t="n"/>
    </row>
    <row r="154" ht="18" customHeight="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>
        <f>IF(AND(D154&lt;&gt;"",H154&lt;&gt;""),ROUND(D154/H154,3),"")</f>
        <v/>
      </c>
      <c r="L154" s="9">
        <f>IF(AND(K154&lt;&gt;"",I154&lt;&gt;""),ROUND(K154/(I154/60),2),"")</f>
        <v/>
      </c>
      <c r="M154" s="9">
        <f>IF(AND(K154&lt;&gt;"",L154&lt;&gt;""),ROUND(K154*L154,3),"")</f>
        <v/>
      </c>
      <c r="N154" s="9" t="n"/>
      <c r="O154" s="9" t="n"/>
      <c r="P154" s="9" t="n"/>
      <c r="Q154" s="9" t="n"/>
      <c r="R154" s="9" t="n"/>
    </row>
    <row r="155" ht="18" customHeight="1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>
        <f>IF(AND(D155&lt;&gt;"",H155&lt;&gt;""),ROUND(D155/H155,3),"")</f>
        <v/>
      </c>
      <c r="L155" s="10">
        <f>IF(AND(K155&lt;&gt;"",I155&lt;&gt;""),ROUND(K155/(I155/60),2),"")</f>
        <v/>
      </c>
      <c r="M155" s="10">
        <f>IF(AND(K155&lt;&gt;"",L155&lt;&gt;""),ROUND(K155*L155,3),"")</f>
        <v/>
      </c>
      <c r="N155" s="10" t="n"/>
      <c r="O155" s="10" t="n"/>
      <c r="P155" s="10" t="n"/>
      <c r="Q155" s="10" t="n"/>
      <c r="R155" s="10" t="n"/>
    </row>
    <row r="156" ht="18" customHeight="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>
        <f>IF(AND(D156&lt;&gt;"",H156&lt;&gt;""),ROUND(D156/H156,3),"")</f>
        <v/>
      </c>
      <c r="L156" s="9">
        <f>IF(AND(K156&lt;&gt;"",I156&lt;&gt;""),ROUND(K156/(I156/60),2),"")</f>
        <v/>
      </c>
      <c r="M156" s="9">
        <f>IF(AND(K156&lt;&gt;"",L156&lt;&gt;""),ROUND(K156*L156,3),"")</f>
        <v/>
      </c>
      <c r="N156" s="9" t="n"/>
      <c r="O156" s="9" t="n"/>
      <c r="P156" s="9" t="n"/>
      <c r="Q156" s="9" t="n"/>
      <c r="R156" s="9" t="n"/>
    </row>
    <row r="157" ht="18" customHeight="1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>
        <f>IF(AND(D157&lt;&gt;"",H157&lt;&gt;""),ROUND(D157/H157,3),"")</f>
        <v/>
      </c>
      <c r="L157" s="10">
        <f>IF(AND(K157&lt;&gt;"",I157&lt;&gt;""),ROUND(K157/(I157/60),2),"")</f>
        <v/>
      </c>
      <c r="M157" s="10">
        <f>IF(AND(K157&lt;&gt;"",L157&lt;&gt;""),ROUND(K157*L157,3),"")</f>
        <v/>
      </c>
      <c r="N157" s="10" t="n"/>
      <c r="O157" s="10" t="n"/>
      <c r="P157" s="10" t="n"/>
      <c r="Q157" s="10" t="n"/>
      <c r="R157" s="10" t="n"/>
    </row>
    <row r="158" ht="18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>
        <f>IF(AND(D158&lt;&gt;"",H158&lt;&gt;""),ROUND(D158/H158,3),"")</f>
        <v/>
      </c>
      <c r="L158" s="9">
        <f>IF(AND(K158&lt;&gt;"",I158&lt;&gt;""),ROUND(K158/(I158/60),2),"")</f>
        <v/>
      </c>
      <c r="M158" s="9">
        <f>IF(AND(K158&lt;&gt;"",L158&lt;&gt;""),ROUND(K158*L158,3),"")</f>
        <v/>
      </c>
      <c r="N158" s="9" t="n"/>
      <c r="O158" s="9" t="n"/>
      <c r="P158" s="9" t="n"/>
      <c r="Q158" s="9" t="n"/>
      <c r="R158" s="9" t="n"/>
    </row>
    <row r="159" ht="18" customHeight="1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>
        <f>IF(AND(D159&lt;&gt;"",H159&lt;&gt;""),ROUND(D159/H159,3),"")</f>
        <v/>
      </c>
      <c r="L159" s="10">
        <f>IF(AND(K159&lt;&gt;"",I159&lt;&gt;""),ROUND(K159/(I159/60),2),"")</f>
        <v/>
      </c>
      <c r="M159" s="10">
        <f>IF(AND(K159&lt;&gt;"",L159&lt;&gt;""),ROUND(K159*L159,3),"")</f>
        <v/>
      </c>
      <c r="N159" s="10" t="n"/>
      <c r="O159" s="10" t="n"/>
      <c r="P159" s="10" t="n"/>
      <c r="Q159" s="10" t="n"/>
      <c r="R159" s="10" t="n"/>
    </row>
    <row r="160" ht="18" customHeight="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>
        <f>IF(AND(D160&lt;&gt;"",H160&lt;&gt;""),ROUND(D160/H160,3),"")</f>
        <v/>
      </c>
      <c r="L160" s="9">
        <f>IF(AND(K160&lt;&gt;"",I160&lt;&gt;""),ROUND(K160/(I160/60),2),"")</f>
        <v/>
      </c>
      <c r="M160" s="9">
        <f>IF(AND(K160&lt;&gt;"",L160&lt;&gt;""),ROUND(K160*L160,3),"")</f>
        <v/>
      </c>
      <c r="N160" s="9" t="n"/>
      <c r="O160" s="9" t="n"/>
      <c r="P160" s="9" t="n"/>
      <c r="Q160" s="9" t="n"/>
      <c r="R160" s="9" t="n"/>
    </row>
    <row r="161" ht="18" customHeight="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>
        <f>IF(AND(D161&lt;&gt;"",H161&lt;&gt;""),ROUND(D161/H161,3),"")</f>
        <v/>
      </c>
      <c r="L161" s="10">
        <f>IF(AND(K161&lt;&gt;"",I161&lt;&gt;""),ROUND(K161/(I161/60),2),"")</f>
        <v/>
      </c>
      <c r="M161" s="10">
        <f>IF(AND(K161&lt;&gt;"",L161&lt;&gt;""),ROUND(K161*L161,3),"")</f>
        <v/>
      </c>
      <c r="N161" s="10" t="n"/>
      <c r="O161" s="10" t="n"/>
      <c r="P161" s="10" t="n"/>
      <c r="Q161" s="10" t="n"/>
      <c r="R161" s="10" t="n"/>
    </row>
    <row r="162" ht="18" customHeight="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>
        <f>IF(AND(D162&lt;&gt;"",H162&lt;&gt;""),ROUND(D162/H162,3),"")</f>
        <v/>
      </c>
      <c r="L162" s="9">
        <f>IF(AND(K162&lt;&gt;"",I162&lt;&gt;""),ROUND(K162/(I162/60),2),"")</f>
        <v/>
      </c>
      <c r="M162" s="9">
        <f>IF(AND(K162&lt;&gt;"",L162&lt;&gt;""),ROUND(K162*L162,3),"")</f>
        <v/>
      </c>
      <c r="N162" s="9" t="n"/>
      <c r="O162" s="9" t="n"/>
      <c r="P162" s="9" t="n"/>
      <c r="Q162" s="9" t="n"/>
      <c r="R162" s="9" t="n"/>
    </row>
    <row r="163" ht="18" customHeight="1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>
        <f>IF(AND(D163&lt;&gt;"",H163&lt;&gt;""),ROUND(D163/H163,3),"")</f>
        <v/>
      </c>
      <c r="L163" s="10">
        <f>IF(AND(K163&lt;&gt;"",I163&lt;&gt;""),ROUND(K163/(I163/60),2),"")</f>
        <v/>
      </c>
      <c r="M163" s="10">
        <f>IF(AND(K163&lt;&gt;"",L163&lt;&gt;""),ROUND(K163*L163,3),"")</f>
        <v/>
      </c>
      <c r="N163" s="10" t="n"/>
      <c r="O163" s="10" t="n"/>
      <c r="P163" s="10" t="n"/>
      <c r="Q163" s="10" t="n"/>
      <c r="R163" s="10" t="n"/>
    </row>
    <row r="164" ht="18" customHeight="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>
        <f>IF(AND(D164&lt;&gt;"",H164&lt;&gt;""),ROUND(D164/H164,3),"")</f>
        <v/>
      </c>
      <c r="L164" s="9">
        <f>IF(AND(K164&lt;&gt;"",I164&lt;&gt;""),ROUND(K164/(I164/60),2),"")</f>
        <v/>
      </c>
      <c r="M164" s="9">
        <f>IF(AND(K164&lt;&gt;"",L164&lt;&gt;""),ROUND(K164*L164,3),"")</f>
        <v/>
      </c>
      <c r="N164" s="9" t="n"/>
      <c r="O164" s="9" t="n"/>
      <c r="P164" s="9" t="n"/>
      <c r="Q164" s="9" t="n"/>
      <c r="R164" s="9" t="n"/>
    </row>
    <row r="165" ht="18" customHeight="1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>
        <f>IF(AND(D165&lt;&gt;"",H165&lt;&gt;""),ROUND(D165/H165,3),"")</f>
        <v/>
      </c>
      <c r="L165" s="10">
        <f>IF(AND(K165&lt;&gt;"",I165&lt;&gt;""),ROUND(K165/(I165/60),2),"")</f>
        <v/>
      </c>
      <c r="M165" s="10">
        <f>IF(AND(K165&lt;&gt;"",L165&lt;&gt;""),ROUND(K165*L165,3),"")</f>
        <v/>
      </c>
      <c r="N165" s="10" t="n"/>
      <c r="O165" s="10" t="n"/>
      <c r="P165" s="10" t="n"/>
      <c r="Q165" s="10" t="n"/>
      <c r="R165" s="10" t="n"/>
    </row>
    <row r="166" ht="18" customHeight="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>
        <f>IF(AND(D166&lt;&gt;"",H166&lt;&gt;""),ROUND(D166/H166,3),"")</f>
        <v/>
      </c>
      <c r="L166" s="9">
        <f>IF(AND(K166&lt;&gt;"",I166&lt;&gt;""),ROUND(K166/(I166/60),2),"")</f>
        <v/>
      </c>
      <c r="M166" s="9">
        <f>IF(AND(K166&lt;&gt;"",L166&lt;&gt;""),ROUND(K166*L166,3),"")</f>
        <v/>
      </c>
      <c r="N166" s="9" t="n"/>
      <c r="O166" s="9" t="n"/>
      <c r="P166" s="9" t="n"/>
      <c r="Q166" s="9" t="n"/>
      <c r="R166" s="9" t="n"/>
    </row>
    <row r="167" ht="18" customHeight="1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>
        <f>IF(AND(D167&lt;&gt;"",H167&lt;&gt;""),ROUND(D167/H167,3),"")</f>
        <v/>
      </c>
      <c r="L167" s="10">
        <f>IF(AND(K167&lt;&gt;"",I167&lt;&gt;""),ROUND(K167/(I167/60),2),"")</f>
        <v/>
      </c>
      <c r="M167" s="10">
        <f>IF(AND(K167&lt;&gt;"",L167&lt;&gt;""),ROUND(K167*L167,3),"")</f>
        <v/>
      </c>
      <c r="N167" s="10" t="n"/>
      <c r="O167" s="10" t="n"/>
      <c r="P167" s="10" t="n"/>
      <c r="Q167" s="10" t="n"/>
      <c r="R167" s="10" t="n"/>
    </row>
    <row r="168" ht="18" customHeight="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>
        <f>IF(AND(D168&lt;&gt;"",H168&lt;&gt;""),ROUND(D168/H168,3),"")</f>
        <v/>
      </c>
      <c r="L168" s="9">
        <f>IF(AND(K168&lt;&gt;"",I168&lt;&gt;""),ROUND(K168/(I168/60),2),"")</f>
        <v/>
      </c>
      <c r="M168" s="9">
        <f>IF(AND(K168&lt;&gt;"",L168&lt;&gt;""),ROUND(K168*L168,3),"")</f>
        <v/>
      </c>
      <c r="N168" s="9" t="n"/>
      <c r="O168" s="9" t="n"/>
      <c r="P168" s="9" t="n"/>
      <c r="Q168" s="9" t="n"/>
      <c r="R168" s="9" t="n"/>
    </row>
    <row r="169" ht="18" customHeight="1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>
        <f>IF(AND(D169&lt;&gt;"",H169&lt;&gt;""),ROUND(D169/H169,3),"")</f>
        <v/>
      </c>
      <c r="L169" s="10">
        <f>IF(AND(K169&lt;&gt;"",I169&lt;&gt;""),ROUND(K169/(I169/60),2),"")</f>
        <v/>
      </c>
      <c r="M169" s="10">
        <f>IF(AND(K169&lt;&gt;"",L169&lt;&gt;""),ROUND(K169*L169,3),"")</f>
        <v/>
      </c>
      <c r="N169" s="10" t="n"/>
      <c r="O169" s="10" t="n"/>
      <c r="P169" s="10" t="n"/>
      <c r="Q169" s="10" t="n"/>
      <c r="R169" s="10" t="n"/>
    </row>
    <row r="170" ht="18" customHeight="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>
        <f>IF(AND(D170&lt;&gt;"",H170&lt;&gt;""),ROUND(D170/H170,3),"")</f>
        <v/>
      </c>
      <c r="L170" s="9">
        <f>IF(AND(K170&lt;&gt;"",I170&lt;&gt;""),ROUND(K170/(I170/60),2),"")</f>
        <v/>
      </c>
      <c r="M170" s="9">
        <f>IF(AND(K170&lt;&gt;"",L170&lt;&gt;""),ROUND(K170*L170,3),"")</f>
        <v/>
      </c>
      <c r="N170" s="9" t="n"/>
      <c r="O170" s="9" t="n"/>
      <c r="P170" s="9" t="n"/>
      <c r="Q170" s="9" t="n"/>
      <c r="R170" s="9" t="n"/>
    </row>
    <row r="171" ht="18" customHeight="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>
        <f>IF(AND(D171&lt;&gt;"",H171&lt;&gt;""),ROUND(D171/H171,3),"")</f>
        <v/>
      </c>
      <c r="L171" s="10">
        <f>IF(AND(K171&lt;&gt;"",I171&lt;&gt;""),ROUND(K171/(I171/60),2),"")</f>
        <v/>
      </c>
      <c r="M171" s="10">
        <f>IF(AND(K171&lt;&gt;"",L171&lt;&gt;""),ROUND(K171*L171,3),"")</f>
        <v/>
      </c>
      <c r="N171" s="10" t="n"/>
      <c r="O171" s="10" t="n"/>
      <c r="P171" s="10" t="n"/>
      <c r="Q171" s="10" t="n"/>
      <c r="R171" s="10" t="n"/>
    </row>
    <row r="172" ht="18" customHeight="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>
        <f>IF(AND(D172&lt;&gt;"",H172&lt;&gt;""),ROUND(D172/H172,3),"")</f>
        <v/>
      </c>
      <c r="L172" s="9">
        <f>IF(AND(K172&lt;&gt;"",I172&lt;&gt;""),ROUND(K172/(I172/60),2),"")</f>
        <v/>
      </c>
      <c r="M172" s="9">
        <f>IF(AND(K172&lt;&gt;"",L172&lt;&gt;""),ROUND(K172*L172,3),"")</f>
        <v/>
      </c>
      <c r="N172" s="9" t="n"/>
      <c r="O172" s="9" t="n"/>
      <c r="P172" s="9" t="n"/>
      <c r="Q172" s="9" t="n"/>
      <c r="R172" s="9" t="n"/>
    </row>
    <row r="173" ht="18" customHeight="1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>
        <f>IF(AND(D173&lt;&gt;"",H173&lt;&gt;""),ROUND(D173/H173,3),"")</f>
        <v/>
      </c>
      <c r="L173" s="10">
        <f>IF(AND(K173&lt;&gt;"",I173&lt;&gt;""),ROUND(K173/(I173/60),2),"")</f>
        <v/>
      </c>
      <c r="M173" s="10">
        <f>IF(AND(K173&lt;&gt;"",L173&lt;&gt;""),ROUND(K173*L173,3),"")</f>
        <v/>
      </c>
      <c r="N173" s="10" t="n"/>
      <c r="O173" s="10" t="n"/>
      <c r="P173" s="10" t="n"/>
      <c r="Q173" s="10" t="n"/>
      <c r="R173" s="10" t="n"/>
    </row>
    <row r="174" ht="18" customHeight="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>
        <f>IF(AND(D174&lt;&gt;"",H174&lt;&gt;""),ROUND(D174/H174,3),"")</f>
        <v/>
      </c>
      <c r="L174" s="9">
        <f>IF(AND(K174&lt;&gt;"",I174&lt;&gt;""),ROUND(K174/(I174/60),2),"")</f>
        <v/>
      </c>
      <c r="M174" s="9">
        <f>IF(AND(K174&lt;&gt;"",L174&lt;&gt;""),ROUND(K174*L174,3),"")</f>
        <v/>
      </c>
      <c r="N174" s="9" t="n"/>
      <c r="O174" s="9" t="n"/>
      <c r="P174" s="9" t="n"/>
      <c r="Q174" s="9" t="n"/>
      <c r="R174" s="9" t="n"/>
    </row>
    <row r="175" ht="18" customHeight="1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>
        <f>IF(AND(D175&lt;&gt;"",H175&lt;&gt;""),ROUND(D175/H175,3),"")</f>
        <v/>
      </c>
      <c r="L175" s="10">
        <f>IF(AND(K175&lt;&gt;"",I175&lt;&gt;""),ROUND(K175/(I175/60),2),"")</f>
        <v/>
      </c>
      <c r="M175" s="10">
        <f>IF(AND(K175&lt;&gt;"",L175&lt;&gt;""),ROUND(K175*L175,3),"")</f>
        <v/>
      </c>
      <c r="N175" s="10" t="n"/>
      <c r="O175" s="10" t="n"/>
      <c r="P175" s="10" t="n"/>
      <c r="Q175" s="10" t="n"/>
      <c r="R175" s="10" t="n"/>
    </row>
    <row r="176" ht="18" customHeight="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>
        <f>IF(AND(D176&lt;&gt;"",H176&lt;&gt;""),ROUND(D176/H176,3),"")</f>
        <v/>
      </c>
      <c r="L176" s="9">
        <f>IF(AND(K176&lt;&gt;"",I176&lt;&gt;""),ROUND(K176/(I176/60),2),"")</f>
        <v/>
      </c>
      <c r="M176" s="9">
        <f>IF(AND(K176&lt;&gt;"",L176&lt;&gt;""),ROUND(K176*L176,3),"")</f>
        <v/>
      </c>
      <c r="N176" s="9" t="n"/>
      <c r="O176" s="9" t="n"/>
      <c r="P176" s="9" t="n"/>
      <c r="Q176" s="9" t="n"/>
      <c r="R176" s="9" t="n"/>
    </row>
    <row r="177" ht="18" customHeight="1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>
        <f>IF(AND(D177&lt;&gt;"",H177&lt;&gt;""),ROUND(D177/H177,3),"")</f>
        <v/>
      </c>
      <c r="L177" s="10">
        <f>IF(AND(K177&lt;&gt;"",I177&lt;&gt;""),ROUND(K177/(I177/60),2),"")</f>
        <v/>
      </c>
      <c r="M177" s="10">
        <f>IF(AND(K177&lt;&gt;"",L177&lt;&gt;""),ROUND(K177*L177,3),"")</f>
        <v/>
      </c>
      <c r="N177" s="10" t="n"/>
      <c r="O177" s="10" t="n"/>
      <c r="P177" s="10" t="n"/>
      <c r="Q177" s="10" t="n"/>
      <c r="R177" s="10" t="n"/>
    </row>
    <row r="178" ht="18" customHeight="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>
        <f>IF(AND(D178&lt;&gt;"",H178&lt;&gt;""),ROUND(D178/H178,3),"")</f>
        <v/>
      </c>
      <c r="L178" s="9">
        <f>IF(AND(K178&lt;&gt;"",I178&lt;&gt;""),ROUND(K178/(I178/60),2),"")</f>
        <v/>
      </c>
      <c r="M178" s="9">
        <f>IF(AND(K178&lt;&gt;"",L178&lt;&gt;""),ROUND(K178*L178,3),"")</f>
        <v/>
      </c>
      <c r="N178" s="9" t="n"/>
      <c r="O178" s="9" t="n"/>
      <c r="P178" s="9" t="n"/>
      <c r="Q178" s="9" t="n"/>
      <c r="R178" s="9" t="n"/>
    </row>
    <row r="179" ht="18" customHeight="1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>
        <f>IF(AND(D179&lt;&gt;"",H179&lt;&gt;""),ROUND(D179/H179,3),"")</f>
        <v/>
      </c>
      <c r="L179" s="10">
        <f>IF(AND(K179&lt;&gt;"",I179&lt;&gt;""),ROUND(K179/(I179/60),2),"")</f>
        <v/>
      </c>
      <c r="M179" s="10">
        <f>IF(AND(K179&lt;&gt;"",L179&lt;&gt;""),ROUND(K179*L179,3),"")</f>
        <v/>
      </c>
      <c r="N179" s="10" t="n"/>
      <c r="O179" s="10" t="n"/>
      <c r="P179" s="10" t="n"/>
      <c r="Q179" s="10" t="n"/>
      <c r="R179" s="10" t="n"/>
    </row>
    <row r="180" ht="18" customHeight="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>
        <f>IF(AND(D180&lt;&gt;"",H180&lt;&gt;""),ROUND(D180/H180,3),"")</f>
        <v/>
      </c>
      <c r="L180" s="9">
        <f>IF(AND(K180&lt;&gt;"",I180&lt;&gt;""),ROUND(K180/(I180/60),2),"")</f>
        <v/>
      </c>
      <c r="M180" s="9">
        <f>IF(AND(K180&lt;&gt;"",L180&lt;&gt;""),ROUND(K180*L180,3),"")</f>
        <v/>
      </c>
      <c r="N180" s="9" t="n"/>
      <c r="O180" s="9" t="n"/>
      <c r="P180" s="9" t="n"/>
      <c r="Q180" s="9" t="n"/>
      <c r="R180" s="9" t="n"/>
    </row>
    <row r="181" ht="18" customHeight="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>
        <f>IF(AND(D181&lt;&gt;"",H181&lt;&gt;""),ROUND(D181/H181,3),"")</f>
        <v/>
      </c>
      <c r="L181" s="10">
        <f>IF(AND(K181&lt;&gt;"",I181&lt;&gt;""),ROUND(K181/(I181/60),2),"")</f>
        <v/>
      </c>
      <c r="M181" s="10">
        <f>IF(AND(K181&lt;&gt;"",L181&lt;&gt;""),ROUND(K181*L181,3),"")</f>
        <v/>
      </c>
      <c r="N181" s="10" t="n"/>
      <c r="O181" s="10" t="n"/>
      <c r="P181" s="10" t="n"/>
      <c r="Q181" s="10" t="n"/>
      <c r="R181" s="10" t="n"/>
    </row>
    <row r="182" ht="18" customHeight="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>
        <f>IF(AND(D182&lt;&gt;"",H182&lt;&gt;""),ROUND(D182/H182,3),"")</f>
        <v/>
      </c>
      <c r="L182" s="9">
        <f>IF(AND(K182&lt;&gt;"",I182&lt;&gt;""),ROUND(K182/(I182/60),2),"")</f>
        <v/>
      </c>
      <c r="M182" s="9">
        <f>IF(AND(K182&lt;&gt;"",L182&lt;&gt;""),ROUND(K182*L182,3),"")</f>
        <v/>
      </c>
      <c r="N182" s="9" t="n"/>
      <c r="O182" s="9" t="n"/>
      <c r="P182" s="9" t="n"/>
      <c r="Q182" s="9" t="n"/>
      <c r="R182" s="9" t="n"/>
    </row>
    <row r="183" ht="18" customHeight="1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>
        <f>IF(AND(D183&lt;&gt;"",H183&lt;&gt;""),ROUND(D183/H183,3),"")</f>
        <v/>
      </c>
      <c r="L183" s="10">
        <f>IF(AND(K183&lt;&gt;"",I183&lt;&gt;""),ROUND(K183/(I183/60),2),"")</f>
        <v/>
      </c>
      <c r="M183" s="10">
        <f>IF(AND(K183&lt;&gt;"",L183&lt;&gt;""),ROUND(K183*L183,3),"")</f>
        <v/>
      </c>
      <c r="N183" s="10" t="n"/>
      <c r="O183" s="10" t="n"/>
      <c r="P183" s="10" t="n"/>
      <c r="Q183" s="10" t="n"/>
      <c r="R183" s="10" t="n"/>
    </row>
    <row r="184" ht="18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>
        <f>IF(AND(D184&lt;&gt;"",H184&lt;&gt;""),ROUND(D184/H184,3),"")</f>
        <v/>
      </c>
      <c r="L184" s="9">
        <f>IF(AND(K184&lt;&gt;"",I184&lt;&gt;""),ROUND(K184/(I184/60),2),"")</f>
        <v/>
      </c>
      <c r="M184" s="9">
        <f>IF(AND(K184&lt;&gt;"",L184&lt;&gt;""),ROUND(K184*L184,3),"")</f>
        <v/>
      </c>
      <c r="N184" s="9" t="n"/>
      <c r="O184" s="9" t="n"/>
      <c r="P184" s="9" t="n"/>
      <c r="Q184" s="9" t="n"/>
      <c r="R184" s="9" t="n"/>
    </row>
    <row r="185" ht="18" customHeight="1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>
        <f>IF(AND(D185&lt;&gt;"",H185&lt;&gt;""),ROUND(D185/H185,3),"")</f>
        <v/>
      </c>
      <c r="L185" s="10">
        <f>IF(AND(K185&lt;&gt;"",I185&lt;&gt;""),ROUND(K185/(I185/60),2),"")</f>
        <v/>
      </c>
      <c r="M185" s="10">
        <f>IF(AND(K185&lt;&gt;"",L185&lt;&gt;""),ROUND(K185*L185,3),"")</f>
        <v/>
      </c>
      <c r="N185" s="10" t="n"/>
      <c r="O185" s="10" t="n"/>
      <c r="P185" s="10" t="n"/>
      <c r="Q185" s="10" t="n"/>
      <c r="R185" s="10" t="n"/>
    </row>
    <row r="186" ht="18" customHeight="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>
        <f>IF(AND(D186&lt;&gt;"",H186&lt;&gt;""),ROUND(D186/H186,3),"")</f>
        <v/>
      </c>
      <c r="L186" s="9">
        <f>IF(AND(K186&lt;&gt;"",I186&lt;&gt;""),ROUND(K186/(I186/60),2),"")</f>
        <v/>
      </c>
      <c r="M186" s="9">
        <f>IF(AND(K186&lt;&gt;"",L186&lt;&gt;""),ROUND(K186*L186,3),"")</f>
        <v/>
      </c>
      <c r="N186" s="9" t="n"/>
      <c r="O186" s="9" t="n"/>
      <c r="P186" s="9" t="n"/>
      <c r="Q186" s="9" t="n"/>
      <c r="R186" s="9" t="n"/>
    </row>
    <row r="187" ht="18" customHeight="1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>
        <f>IF(AND(D187&lt;&gt;"",H187&lt;&gt;""),ROUND(D187/H187,3),"")</f>
        <v/>
      </c>
      <c r="L187" s="10">
        <f>IF(AND(K187&lt;&gt;"",I187&lt;&gt;""),ROUND(K187/(I187/60),2),"")</f>
        <v/>
      </c>
      <c r="M187" s="10">
        <f>IF(AND(K187&lt;&gt;"",L187&lt;&gt;""),ROUND(K187*L187,3),"")</f>
        <v/>
      </c>
      <c r="N187" s="10" t="n"/>
      <c r="O187" s="10" t="n"/>
      <c r="P187" s="10" t="n"/>
      <c r="Q187" s="10" t="n"/>
      <c r="R187" s="10" t="n"/>
    </row>
    <row r="188" ht="18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>
        <f>IF(AND(D188&lt;&gt;"",H188&lt;&gt;""),ROUND(D188/H188,3),"")</f>
        <v/>
      </c>
      <c r="L188" s="9">
        <f>IF(AND(K188&lt;&gt;"",I188&lt;&gt;""),ROUND(K188/(I188/60),2),"")</f>
        <v/>
      </c>
      <c r="M188" s="9">
        <f>IF(AND(K188&lt;&gt;"",L188&lt;&gt;""),ROUND(K188*L188,3),"")</f>
        <v/>
      </c>
      <c r="N188" s="9" t="n"/>
      <c r="O188" s="9" t="n"/>
      <c r="P188" s="9" t="n"/>
      <c r="Q188" s="9" t="n"/>
      <c r="R188" s="9" t="n"/>
    </row>
    <row r="189" ht="18" customHeight="1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>
        <f>IF(AND(D189&lt;&gt;"",H189&lt;&gt;""),ROUND(D189/H189,3),"")</f>
        <v/>
      </c>
      <c r="L189" s="10">
        <f>IF(AND(K189&lt;&gt;"",I189&lt;&gt;""),ROUND(K189/(I189/60),2),"")</f>
        <v/>
      </c>
      <c r="M189" s="10">
        <f>IF(AND(K189&lt;&gt;"",L189&lt;&gt;""),ROUND(K189*L189,3),"")</f>
        <v/>
      </c>
      <c r="N189" s="10" t="n"/>
      <c r="O189" s="10" t="n"/>
      <c r="P189" s="10" t="n"/>
      <c r="Q189" s="10" t="n"/>
      <c r="R189" s="10" t="n"/>
    </row>
    <row r="190" ht="18" customHeight="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>
        <f>IF(AND(D190&lt;&gt;"",H190&lt;&gt;""),ROUND(D190/H190,3),"")</f>
        <v/>
      </c>
      <c r="L190" s="9">
        <f>IF(AND(K190&lt;&gt;"",I190&lt;&gt;""),ROUND(K190/(I190/60),2),"")</f>
        <v/>
      </c>
      <c r="M190" s="9">
        <f>IF(AND(K190&lt;&gt;"",L190&lt;&gt;""),ROUND(K190*L190,3),"")</f>
        <v/>
      </c>
      <c r="N190" s="9" t="n"/>
      <c r="O190" s="9" t="n"/>
      <c r="P190" s="9" t="n"/>
      <c r="Q190" s="9" t="n"/>
      <c r="R190" s="9" t="n"/>
    </row>
    <row r="191" ht="18" customHeight="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>
        <f>IF(AND(D191&lt;&gt;"",H191&lt;&gt;""),ROUND(D191/H191,3),"")</f>
        <v/>
      </c>
      <c r="L191" s="10">
        <f>IF(AND(K191&lt;&gt;"",I191&lt;&gt;""),ROUND(K191/(I191/60),2),"")</f>
        <v/>
      </c>
      <c r="M191" s="10">
        <f>IF(AND(K191&lt;&gt;"",L191&lt;&gt;""),ROUND(K191*L191,3),"")</f>
        <v/>
      </c>
      <c r="N191" s="10" t="n"/>
      <c r="O191" s="10" t="n"/>
      <c r="P191" s="10" t="n"/>
      <c r="Q191" s="10" t="n"/>
      <c r="R191" s="10" t="n"/>
    </row>
    <row r="192" ht="18" customHeight="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>
        <f>IF(AND(D192&lt;&gt;"",H192&lt;&gt;""),ROUND(D192/H192,3),"")</f>
        <v/>
      </c>
      <c r="L192" s="9">
        <f>IF(AND(K192&lt;&gt;"",I192&lt;&gt;""),ROUND(K192/(I192/60),2),"")</f>
        <v/>
      </c>
      <c r="M192" s="9">
        <f>IF(AND(K192&lt;&gt;"",L192&lt;&gt;""),ROUND(K192*L192,3),"")</f>
        <v/>
      </c>
      <c r="N192" s="9" t="n"/>
      <c r="O192" s="9" t="n"/>
      <c r="P192" s="9" t="n"/>
      <c r="Q192" s="9" t="n"/>
      <c r="R192" s="9" t="n"/>
    </row>
    <row r="193" ht="18" customHeight="1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>
        <f>IF(AND(D193&lt;&gt;"",H193&lt;&gt;""),ROUND(D193/H193,3),"")</f>
        <v/>
      </c>
      <c r="L193" s="10">
        <f>IF(AND(K193&lt;&gt;"",I193&lt;&gt;""),ROUND(K193/(I193/60),2),"")</f>
        <v/>
      </c>
      <c r="M193" s="10">
        <f>IF(AND(K193&lt;&gt;"",L193&lt;&gt;""),ROUND(K193*L193,3),"")</f>
        <v/>
      </c>
      <c r="N193" s="10" t="n"/>
      <c r="O193" s="10" t="n"/>
      <c r="P193" s="10" t="n"/>
      <c r="Q193" s="10" t="n"/>
      <c r="R193" s="10" t="n"/>
    </row>
    <row r="194" ht="18" customHeight="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>
        <f>IF(AND(D194&lt;&gt;"",H194&lt;&gt;""),ROUND(D194/H194,3),"")</f>
        <v/>
      </c>
      <c r="L194" s="9">
        <f>IF(AND(K194&lt;&gt;"",I194&lt;&gt;""),ROUND(K194/(I194/60),2),"")</f>
        <v/>
      </c>
      <c r="M194" s="9">
        <f>IF(AND(K194&lt;&gt;"",L194&lt;&gt;""),ROUND(K194*L194,3),"")</f>
        <v/>
      </c>
      <c r="N194" s="9" t="n"/>
      <c r="O194" s="9" t="n"/>
      <c r="P194" s="9" t="n"/>
      <c r="Q194" s="9" t="n"/>
      <c r="R194" s="9" t="n"/>
    </row>
    <row r="195" ht="18" customHeight="1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>
        <f>IF(AND(D195&lt;&gt;"",H195&lt;&gt;""),ROUND(D195/H195,3),"")</f>
        <v/>
      </c>
      <c r="L195" s="10">
        <f>IF(AND(K195&lt;&gt;"",I195&lt;&gt;""),ROUND(K195/(I195/60),2),"")</f>
        <v/>
      </c>
      <c r="M195" s="10">
        <f>IF(AND(K195&lt;&gt;"",L195&lt;&gt;""),ROUND(K195*L195,3),"")</f>
        <v/>
      </c>
      <c r="N195" s="10" t="n"/>
      <c r="O195" s="10" t="n"/>
      <c r="P195" s="10" t="n"/>
      <c r="Q195" s="10" t="n"/>
      <c r="R195" s="10" t="n"/>
    </row>
    <row r="196" ht="18" customHeight="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>
        <f>IF(AND(D196&lt;&gt;"",H196&lt;&gt;""),ROUND(D196/H196,3),"")</f>
        <v/>
      </c>
      <c r="L196" s="9">
        <f>IF(AND(K196&lt;&gt;"",I196&lt;&gt;""),ROUND(K196/(I196/60),2),"")</f>
        <v/>
      </c>
      <c r="M196" s="9">
        <f>IF(AND(K196&lt;&gt;"",L196&lt;&gt;""),ROUND(K196*L196,3),"")</f>
        <v/>
      </c>
      <c r="N196" s="9" t="n"/>
      <c r="O196" s="9" t="n"/>
      <c r="P196" s="9" t="n"/>
      <c r="Q196" s="9" t="n"/>
      <c r="R196" s="9" t="n"/>
    </row>
    <row r="197" ht="18" customHeight="1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>
        <f>IF(AND(D197&lt;&gt;"",H197&lt;&gt;""),ROUND(D197/H197,3),"")</f>
        <v/>
      </c>
      <c r="L197" s="10">
        <f>IF(AND(K197&lt;&gt;"",I197&lt;&gt;""),ROUND(K197/(I197/60),2),"")</f>
        <v/>
      </c>
      <c r="M197" s="10">
        <f>IF(AND(K197&lt;&gt;"",L197&lt;&gt;""),ROUND(K197*L197,3),"")</f>
        <v/>
      </c>
      <c r="N197" s="10" t="n"/>
      <c r="O197" s="10" t="n"/>
      <c r="P197" s="10" t="n"/>
      <c r="Q197" s="10" t="n"/>
      <c r="R197" s="10" t="n"/>
    </row>
    <row r="198" ht="18" customHeight="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>
        <f>IF(AND(D198&lt;&gt;"",H198&lt;&gt;""),ROUND(D198/H198,3),"")</f>
        <v/>
      </c>
      <c r="L198" s="9">
        <f>IF(AND(K198&lt;&gt;"",I198&lt;&gt;""),ROUND(K198/(I198/60),2),"")</f>
        <v/>
      </c>
      <c r="M198" s="9">
        <f>IF(AND(K198&lt;&gt;"",L198&lt;&gt;""),ROUND(K198*L198,3),"")</f>
        <v/>
      </c>
      <c r="N198" s="9" t="n"/>
      <c r="O198" s="9" t="n"/>
      <c r="P198" s="9" t="n"/>
      <c r="Q198" s="9" t="n"/>
      <c r="R198" s="9" t="n"/>
    </row>
    <row r="199" ht="18" customHeight="1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>
        <f>IF(AND(D199&lt;&gt;"",H199&lt;&gt;""),ROUND(D199/H199,3),"")</f>
        <v/>
      </c>
      <c r="L199" s="10">
        <f>IF(AND(K199&lt;&gt;"",I199&lt;&gt;""),ROUND(K199/(I199/60),2),"")</f>
        <v/>
      </c>
      <c r="M199" s="10">
        <f>IF(AND(K199&lt;&gt;"",L199&lt;&gt;""),ROUND(K199*L199,3),"")</f>
        <v/>
      </c>
      <c r="N199" s="10" t="n"/>
      <c r="O199" s="10" t="n"/>
      <c r="P199" s="10" t="n"/>
      <c r="Q199" s="10" t="n"/>
      <c r="R199" s="10" t="n"/>
    </row>
    <row r="200" ht="18" customHeight="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>
        <f>IF(AND(D200&lt;&gt;"",H200&lt;&gt;""),ROUND(D200/H200,3),"")</f>
        <v/>
      </c>
      <c r="L200" s="9">
        <f>IF(AND(K200&lt;&gt;"",I200&lt;&gt;""),ROUND(K200/(I200/60),2),"")</f>
        <v/>
      </c>
      <c r="M200" s="9">
        <f>IF(AND(K200&lt;&gt;"",L200&lt;&gt;""),ROUND(K200*L200,3),"")</f>
        <v/>
      </c>
      <c r="N200" s="9" t="n"/>
      <c r="O200" s="9" t="n"/>
      <c r="P200" s="9" t="n"/>
      <c r="Q200" s="9" t="n"/>
      <c r="R200" s="9" t="n"/>
    </row>
    <row r="201" ht="18" customHeight="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>
        <f>IF(AND(D201&lt;&gt;"",H201&lt;&gt;""),ROUND(D201/H201,3),"")</f>
        <v/>
      </c>
      <c r="L201" s="10">
        <f>IF(AND(K201&lt;&gt;"",I201&lt;&gt;""),ROUND(K201/(I201/60),2),"")</f>
        <v/>
      </c>
      <c r="M201" s="10">
        <f>IF(AND(K201&lt;&gt;"",L201&lt;&gt;""),ROUND(K201*L201,3),"")</f>
        <v/>
      </c>
      <c r="N201" s="10" t="n"/>
      <c r="O201" s="10" t="n"/>
      <c r="P201" s="10" t="n"/>
      <c r="Q201" s="10" t="n"/>
      <c r="R201" s="10" t="n"/>
    </row>
    <row r="202" ht="18" customHeight="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>
        <f>IF(AND(D202&lt;&gt;"",H202&lt;&gt;""),ROUND(D202/H202,3),"")</f>
        <v/>
      </c>
      <c r="L202" s="9">
        <f>IF(AND(K202&lt;&gt;"",I202&lt;&gt;""),ROUND(K202/(I202/60),2),"")</f>
        <v/>
      </c>
      <c r="M202" s="9">
        <f>IF(AND(K202&lt;&gt;"",L202&lt;&gt;""),ROUND(K202*L202,3),"")</f>
        <v/>
      </c>
      <c r="N202" s="9" t="n"/>
      <c r="O202" s="9" t="n"/>
      <c r="P202" s="9" t="n"/>
      <c r="Q202" s="9" t="n"/>
      <c r="R202" s="9" t="n"/>
    </row>
    <row r="203" ht="18" customHeight="1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>
        <f>IF(AND(D203&lt;&gt;"",H203&lt;&gt;""),ROUND(D203/H203,3),"")</f>
        <v/>
      </c>
      <c r="L203" s="10">
        <f>IF(AND(K203&lt;&gt;"",I203&lt;&gt;""),ROUND(K203/(I203/60),2),"")</f>
        <v/>
      </c>
      <c r="M203" s="10">
        <f>IF(AND(K203&lt;&gt;"",L203&lt;&gt;""),ROUND(K203*L203,3),"")</f>
        <v/>
      </c>
      <c r="N203" s="10" t="n"/>
      <c r="O203" s="10" t="n"/>
      <c r="P203" s="10" t="n"/>
      <c r="Q203" s="10" t="n"/>
      <c r="R203" s="10" t="n"/>
    </row>
    <row r="204" ht="18" customHeight="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>
        <f>IF(AND(D204&lt;&gt;"",H204&lt;&gt;""),ROUND(D204/H204,3),"")</f>
        <v/>
      </c>
      <c r="L204" s="9">
        <f>IF(AND(K204&lt;&gt;"",I204&lt;&gt;""),ROUND(K204/(I204/60),2),"")</f>
        <v/>
      </c>
      <c r="M204" s="9">
        <f>IF(AND(K204&lt;&gt;"",L204&lt;&gt;""),ROUND(K204*L204,3),"")</f>
        <v/>
      </c>
      <c r="N204" s="9" t="n"/>
      <c r="O204" s="9" t="n"/>
      <c r="P204" s="9" t="n"/>
      <c r="Q204" s="9" t="n"/>
      <c r="R204" s="9" t="n"/>
    </row>
    <row r="205" ht="18" customHeight="1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>
        <f>IF(AND(D205&lt;&gt;"",H205&lt;&gt;""),ROUND(D205/H205,3),"")</f>
        <v/>
      </c>
      <c r="L205" s="10">
        <f>IF(AND(K205&lt;&gt;"",I205&lt;&gt;""),ROUND(K205/(I205/60),2),"")</f>
        <v/>
      </c>
      <c r="M205" s="10">
        <f>IF(AND(K205&lt;&gt;"",L205&lt;&gt;""),ROUND(K205*L205,3),"")</f>
        <v/>
      </c>
      <c r="N205" s="10" t="n"/>
      <c r="O205" s="10" t="n"/>
      <c r="P205" s="10" t="n"/>
      <c r="Q205" s="10" t="n"/>
      <c r="R205" s="10" t="n"/>
    </row>
    <row r="206" ht="18" customHeight="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>
        <f>IF(AND(D206&lt;&gt;"",H206&lt;&gt;""),ROUND(D206/H206,3),"")</f>
        <v/>
      </c>
      <c r="L206" s="9">
        <f>IF(AND(K206&lt;&gt;"",I206&lt;&gt;""),ROUND(K206/(I206/60),2),"")</f>
        <v/>
      </c>
      <c r="M206" s="9">
        <f>IF(AND(K206&lt;&gt;"",L206&lt;&gt;""),ROUND(K206*L206,3),"")</f>
        <v/>
      </c>
      <c r="N206" s="9" t="n"/>
      <c r="O206" s="9" t="n"/>
      <c r="P206" s="9" t="n"/>
      <c r="Q206" s="9" t="n"/>
      <c r="R206" s="9" t="n"/>
    </row>
    <row r="207" ht="18" customHeight="1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>
        <f>IF(AND(D207&lt;&gt;"",H207&lt;&gt;""),ROUND(D207/H207,3),"")</f>
        <v/>
      </c>
      <c r="L207" s="10">
        <f>IF(AND(K207&lt;&gt;"",I207&lt;&gt;""),ROUND(K207/(I207/60),2),"")</f>
        <v/>
      </c>
      <c r="M207" s="10">
        <f>IF(AND(K207&lt;&gt;"",L207&lt;&gt;""),ROUND(K207*L207,3),"")</f>
        <v/>
      </c>
      <c r="N207" s="10" t="n"/>
      <c r="O207" s="10" t="n"/>
      <c r="P207" s="10" t="n"/>
      <c r="Q207" s="10" t="n"/>
      <c r="R207" s="10" t="n"/>
    </row>
    <row r="208" ht="18" customHeight="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>
        <f>IF(AND(D208&lt;&gt;"",H208&lt;&gt;""),ROUND(D208/H208,3),"")</f>
        <v/>
      </c>
      <c r="L208" s="9">
        <f>IF(AND(K208&lt;&gt;"",I208&lt;&gt;""),ROUND(K208/(I208/60),2),"")</f>
        <v/>
      </c>
      <c r="M208" s="9">
        <f>IF(AND(K208&lt;&gt;"",L208&lt;&gt;""),ROUND(K208*L208,3),"")</f>
        <v/>
      </c>
      <c r="N208" s="9" t="n"/>
      <c r="O208" s="9" t="n"/>
      <c r="P208" s="9" t="n"/>
      <c r="Q208" s="9" t="n"/>
      <c r="R208" s="9" t="n"/>
    </row>
    <row r="209" ht="18" customHeight="1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>
        <f>IF(AND(D209&lt;&gt;"",H209&lt;&gt;""),ROUND(D209/H209,3),"")</f>
        <v/>
      </c>
      <c r="L209" s="10">
        <f>IF(AND(K209&lt;&gt;"",I209&lt;&gt;""),ROUND(K209/(I209/60),2),"")</f>
        <v/>
      </c>
      <c r="M209" s="10">
        <f>IF(AND(K209&lt;&gt;"",L209&lt;&gt;""),ROUND(K209*L209,3),"")</f>
        <v/>
      </c>
      <c r="N209" s="10" t="n"/>
      <c r="O209" s="10" t="n"/>
      <c r="P209" s="10" t="n"/>
      <c r="Q209" s="10" t="n"/>
      <c r="R209" s="10" t="n"/>
    </row>
    <row r="210" ht="18" customHeight="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>
        <f>IF(AND(D210&lt;&gt;"",H210&lt;&gt;""),ROUND(D210/H210,3),"")</f>
        <v/>
      </c>
      <c r="L210" s="9">
        <f>IF(AND(K210&lt;&gt;"",I210&lt;&gt;""),ROUND(K210/(I210/60),2),"")</f>
        <v/>
      </c>
      <c r="M210" s="9">
        <f>IF(AND(K210&lt;&gt;"",L210&lt;&gt;""),ROUND(K210*L210,3),"")</f>
        <v/>
      </c>
      <c r="N210" s="9" t="n"/>
      <c r="O210" s="9" t="n"/>
      <c r="P210" s="9" t="n"/>
      <c r="Q210" s="9" t="n"/>
      <c r="R210" s="9" t="n"/>
    </row>
    <row r="211" ht="18" customHeight="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>
        <f>IF(AND(D211&lt;&gt;"",H211&lt;&gt;""),ROUND(D211/H211,3),"")</f>
        <v/>
      </c>
      <c r="L211" s="10">
        <f>IF(AND(K211&lt;&gt;"",I211&lt;&gt;""),ROUND(K211/(I211/60),2),"")</f>
        <v/>
      </c>
      <c r="M211" s="10">
        <f>IF(AND(K211&lt;&gt;"",L211&lt;&gt;""),ROUND(K211*L211,3),"")</f>
        <v/>
      </c>
      <c r="N211" s="10" t="n"/>
      <c r="O211" s="10" t="n"/>
      <c r="P211" s="10" t="n"/>
      <c r="Q211" s="10" t="n"/>
      <c r="R211" s="10" t="n"/>
    </row>
    <row r="212" ht="18" customHeight="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>
        <f>IF(AND(D212&lt;&gt;"",H212&lt;&gt;""),ROUND(D212/H212,3),"")</f>
        <v/>
      </c>
      <c r="L212" s="9">
        <f>IF(AND(K212&lt;&gt;"",I212&lt;&gt;""),ROUND(K212/(I212/60),2),"")</f>
        <v/>
      </c>
      <c r="M212" s="9">
        <f>IF(AND(K212&lt;&gt;"",L212&lt;&gt;""),ROUND(K212*L212,3),"")</f>
        <v/>
      </c>
      <c r="N212" s="9" t="n"/>
      <c r="O212" s="9" t="n"/>
      <c r="P212" s="9" t="n"/>
      <c r="Q212" s="9" t="n"/>
      <c r="R212" s="9" t="n"/>
    </row>
    <row r="213" ht="18" customHeight="1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>
        <f>IF(AND(D213&lt;&gt;"",H213&lt;&gt;""),ROUND(D213/H213,3),"")</f>
        <v/>
      </c>
      <c r="L213" s="10">
        <f>IF(AND(K213&lt;&gt;"",I213&lt;&gt;""),ROUND(K213/(I213/60),2),"")</f>
        <v/>
      </c>
      <c r="M213" s="10">
        <f>IF(AND(K213&lt;&gt;"",L213&lt;&gt;""),ROUND(K213*L213,3),"")</f>
        <v/>
      </c>
      <c r="N213" s="10" t="n"/>
      <c r="O213" s="10" t="n"/>
      <c r="P213" s="10" t="n"/>
      <c r="Q213" s="10" t="n"/>
      <c r="R213" s="10" t="n"/>
    </row>
    <row r="214" ht="18" customHeight="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>
        <f>IF(AND(D214&lt;&gt;"",H214&lt;&gt;""),ROUND(D214/H214,3),"")</f>
        <v/>
      </c>
      <c r="L214" s="9">
        <f>IF(AND(K214&lt;&gt;"",I214&lt;&gt;""),ROUND(K214/(I214/60),2),"")</f>
        <v/>
      </c>
      <c r="M214" s="9">
        <f>IF(AND(K214&lt;&gt;"",L214&lt;&gt;""),ROUND(K214*L214,3),"")</f>
        <v/>
      </c>
      <c r="N214" s="9" t="n"/>
      <c r="O214" s="9" t="n"/>
      <c r="P214" s="9" t="n"/>
      <c r="Q214" s="9" t="n"/>
      <c r="R214" s="9" t="n"/>
    </row>
    <row r="215" ht="18" customHeight="1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>
        <f>IF(AND(D215&lt;&gt;"",H215&lt;&gt;""),ROUND(D215/H215,3),"")</f>
        <v/>
      </c>
      <c r="L215" s="10">
        <f>IF(AND(K215&lt;&gt;"",I215&lt;&gt;""),ROUND(K215/(I215/60),2),"")</f>
        <v/>
      </c>
      <c r="M215" s="10">
        <f>IF(AND(K215&lt;&gt;"",L215&lt;&gt;""),ROUND(K215*L215,3),"")</f>
        <v/>
      </c>
      <c r="N215" s="10" t="n"/>
      <c r="O215" s="10" t="n"/>
      <c r="P215" s="10" t="n"/>
      <c r="Q215" s="10" t="n"/>
      <c r="R215" s="10" t="n"/>
    </row>
    <row r="216" ht="18" customHeight="1">
      <c r="A216" s="9" t="n"/>
      <c r="B216" s="9" t="n"/>
      <c r="C216" s="9" t="n"/>
      <c r="D216" s="9" t="n"/>
      <c r="E216" s="9" t="n"/>
      <c r="F216" s="9" t="n"/>
      <c r="G216" s="9" t="n"/>
      <c r="H216" s="9" t="n"/>
      <c r="I216" s="9" t="n"/>
      <c r="J216" s="9" t="n"/>
      <c r="K216" s="9">
        <f>IF(AND(D216&lt;&gt;"",H216&lt;&gt;""),ROUND(D216/H216,3),"")</f>
        <v/>
      </c>
      <c r="L216" s="9">
        <f>IF(AND(K216&lt;&gt;"",I216&lt;&gt;""),ROUND(K216/(I216/60),2),"")</f>
        <v/>
      </c>
      <c r="M216" s="9">
        <f>IF(AND(K216&lt;&gt;"",L216&lt;&gt;""),ROUND(K216*L216,3),"")</f>
        <v/>
      </c>
      <c r="N216" s="9" t="n"/>
      <c r="O216" s="9" t="n"/>
      <c r="P216" s="9" t="n"/>
      <c r="Q216" s="9" t="n"/>
      <c r="R216" s="9" t="n"/>
    </row>
    <row r="217" ht="18" customHeight="1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>
        <f>IF(AND(D217&lt;&gt;"",H217&lt;&gt;""),ROUND(D217/H217,3),"")</f>
        <v/>
      </c>
      <c r="L217" s="10">
        <f>IF(AND(K217&lt;&gt;"",I217&lt;&gt;""),ROUND(K217/(I217/60),2),"")</f>
        <v/>
      </c>
      <c r="M217" s="10">
        <f>IF(AND(K217&lt;&gt;"",L217&lt;&gt;""),ROUND(K217*L217,3),"")</f>
        <v/>
      </c>
      <c r="N217" s="10" t="n"/>
      <c r="O217" s="10" t="n"/>
      <c r="P217" s="10" t="n"/>
      <c r="Q217" s="10" t="n"/>
      <c r="R217" s="10" t="n"/>
    </row>
    <row r="218" ht="18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>
        <f>IF(AND(D218&lt;&gt;"",H218&lt;&gt;""),ROUND(D218/H218,3),"")</f>
        <v/>
      </c>
      <c r="L218" s="9">
        <f>IF(AND(K218&lt;&gt;"",I218&lt;&gt;""),ROUND(K218/(I218/60),2),"")</f>
        <v/>
      </c>
      <c r="M218" s="9">
        <f>IF(AND(K218&lt;&gt;"",L218&lt;&gt;""),ROUND(K218*L218,3),"")</f>
        <v/>
      </c>
      <c r="N218" s="9" t="n"/>
      <c r="O218" s="9" t="n"/>
      <c r="P218" s="9" t="n"/>
      <c r="Q218" s="9" t="n"/>
      <c r="R218" s="9" t="n"/>
    </row>
    <row r="219" ht="18" customHeight="1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>
        <f>IF(AND(D219&lt;&gt;"",H219&lt;&gt;""),ROUND(D219/H219,3),"")</f>
        <v/>
      </c>
      <c r="L219" s="10">
        <f>IF(AND(K219&lt;&gt;"",I219&lt;&gt;""),ROUND(K219/(I219/60),2),"")</f>
        <v/>
      </c>
      <c r="M219" s="10">
        <f>IF(AND(K219&lt;&gt;"",L219&lt;&gt;""),ROUND(K219*L219,3),"")</f>
        <v/>
      </c>
      <c r="N219" s="10" t="n"/>
      <c r="O219" s="10" t="n"/>
      <c r="P219" s="10" t="n"/>
      <c r="Q219" s="10" t="n"/>
      <c r="R219" s="10" t="n"/>
    </row>
    <row r="220" ht="18" customHeight="1">
      <c r="A220" s="9" t="n"/>
      <c r="B220" s="9" t="n"/>
      <c r="C220" s="9" t="n"/>
      <c r="D220" s="9" t="n"/>
      <c r="E220" s="9" t="n"/>
      <c r="F220" s="9" t="n"/>
      <c r="G220" s="9" t="n"/>
      <c r="H220" s="9" t="n"/>
      <c r="I220" s="9" t="n"/>
      <c r="J220" s="9" t="n"/>
      <c r="K220" s="9">
        <f>IF(AND(D220&lt;&gt;"",H220&lt;&gt;""),ROUND(D220/H220,3),"")</f>
        <v/>
      </c>
      <c r="L220" s="9">
        <f>IF(AND(K220&lt;&gt;"",I220&lt;&gt;""),ROUND(K220/(I220/60),2),"")</f>
        <v/>
      </c>
      <c r="M220" s="9">
        <f>IF(AND(K220&lt;&gt;"",L220&lt;&gt;""),ROUND(K220*L220,3),"")</f>
        <v/>
      </c>
      <c r="N220" s="9" t="n"/>
      <c r="O220" s="9" t="n"/>
      <c r="P220" s="9" t="n"/>
      <c r="Q220" s="9" t="n"/>
      <c r="R220" s="9" t="n"/>
    </row>
    <row r="221" ht="18" customHeight="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>
        <f>IF(AND(D221&lt;&gt;"",H221&lt;&gt;""),ROUND(D221/H221,3),"")</f>
        <v/>
      </c>
      <c r="L221" s="10">
        <f>IF(AND(K221&lt;&gt;"",I221&lt;&gt;""),ROUND(K221/(I221/60),2),"")</f>
        <v/>
      </c>
      <c r="M221" s="10">
        <f>IF(AND(K221&lt;&gt;"",L221&lt;&gt;""),ROUND(K221*L221,3),"")</f>
        <v/>
      </c>
      <c r="N221" s="10" t="n"/>
      <c r="O221" s="10" t="n"/>
      <c r="P221" s="10" t="n"/>
      <c r="Q221" s="10" t="n"/>
      <c r="R221" s="10" t="n"/>
    </row>
    <row r="222" ht="18" customHeight="1">
      <c r="A222" s="9" t="n"/>
      <c r="B222" s="9" t="n"/>
      <c r="C222" s="9" t="n"/>
      <c r="D222" s="9" t="n"/>
      <c r="E222" s="9" t="n"/>
      <c r="F222" s="9" t="n"/>
      <c r="G222" s="9" t="n"/>
      <c r="H222" s="9" t="n"/>
      <c r="I222" s="9" t="n"/>
      <c r="J222" s="9" t="n"/>
      <c r="K222" s="9">
        <f>IF(AND(D222&lt;&gt;"",H222&lt;&gt;""),ROUND(D222/H222,3),"")</f>
        <v/>
      </c>
      <c r="L222" s="9">
        <f>IF(AND(K222&lt;&gt;"",I222&lt;&gt;""),ROUND(K222/(I222/60),2),"")</f>
        <v/>
      </c>
      <c r="M222" s="9">
        <f>IF(AND(K222&lt;&gt;"",L222&lt;&gt;""),ROUND(K222*L222,3),"")</f>
        <v/>
      </c>
      <c r="N222" s="9" t="n"/>
      <c r="O222" s="9" t="n"/>
      <c r="P222" s="9" t="n"/>
      <c r="Q222" s="9" t="n"/>
      <c r="R222" s="9" t="n"/>
    </row>
    <row r="223" ht="18" customHeight="1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>
        <f>IF(AND(D223&lt;&gt;"",H223&lt;&gt;""),ROUND(D223/H223,3),"")</f>
        <v/>
      </c>
      <c r="L223" s="10">
        <f>IF(AND(K223&lt;&gt;"",I223&lt;&gt;""),ROUND(K223/(I223/60),2),"")</f>
        <v/>
      </c>
      <c r="M223" s="10">
        <f>IF(AND(K223&lt;&gt;"",L223&lt;&gt;""),ROUND(K223*L223,3),"")</f>
        <v/>
      </c>
      <c r="N223" s="10" t="n"/>
      <c r="O223" s="10" t="n"/>
      <c r="P223" s="10" t="n"/>
      <c r="Q223" s="10" t="n"/>
      <c r="R223" s="10" t="n"/>
    </row>
    <row r="224" ht="18" customHeight="1">
      <c r="A224" s="9" t="n"/>
      <c r="B224" s="9" t="n"/>
      <c r="C224" s="9" t="n"/>
      <c r="D224" s="9" t="n"/>
      <c r="E224" s="9" t="n"/>
      <c r="F224" s="9" t="n"/>
      <c r="G224" s="9" t="n"/>
      <c r="H224" s="9" t="n"/>
      <c r="I224" s="9" t="n"/>
      <c r="J224" s="9" t="n"/>
      <c r="K224" s="9">
        <f>IF(AND(D224&lt;&gt;"",H224&lt;&gt;""),ROUND(D224/H224,3),"")</f>
        <v/>
      </c>
      <c r="L224" s="9">
        <f>IF(AND(K224&lt;&gt;"",I224&lt;&gt;""),ROUND(K224/(I224/60),2),"")</f>
        <v/>
      </c>
      <c r="M224" s="9">
        <f>IF(AND(K224&lt;&gt;"",L224&lt;&gt;""),ROUND(K224*L224,3),"")</f>
        <v/>
      </c>
      <c r="N224" s="9" t="n"/>
      <c r="O224" s="9" t="n"/>
      <c r="P224" s="9" t="n"/>
      <c r="Q224" s="9" t="n"/>
      <c r="R224" s="9" t="n"/>
    </row>
    <row r="225" ht="18" customHeight="1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>
        <f>IF(AND(D225&lt;&gt;"",H225&lt;&gt;""),ROUND(D225/H225,3),"")</f>
        <v/>
      </c>
      <c r="L225" s="10">
        <f>IF(AND(K225&lt;&gt;"",I225&lt;&gt;""),ROUND(K225/(I225/60),2),"")</f>
        <v/>
      </c>
      <c r="M225" s="10">
        <f>IF(AND(K225&lt;&gt;"",L225&lt;&gt;""),ROUND(K225*L225,3),"")</f>
        <v/>
      </c>
      <c r="N225" s="10" t="n"/>
      <c r="O225" s="10" t="n"/>
      <c r="P225" s="10" t="n"/>
      <c r="Q225" s="10" t="n"/>
      <c r="R225" s="10" t="n"/>
    </row>
    <row r="226" ht="18" customHeight="1">
      <c r="A226" s="9" t="n"/>
      <c r="B226" s="9" t="n"/>
      <c r="C226" s="9" t="n"/>
      <c r="D226" s="9" t="n"/>
      <c r="E226" s="9" t="n"/>
      <c r="F226" s="9" t="n"/>
      <c r="G226" s="9" t="n"/>
      <c r="H226" s="9" t="n"/>
      <c r="I226" s="9" t="n"/>
      <c r="J226" s="9" t="n"/>
      <c r="K226" s="9">
        <f>IF(AND(D226&lt;&gt;"",H226&lt;&gt;""),ROUND(D226/H226,3),"")</f>
        <v/>
      </c>
      <c r="L226" s="9">
        <f>IF(AND(K226&lt;&gt;"",I226&lt;&gt;""),ROUND(K226/(I226/60),2),"")</f>
        <v/>
      </c>
      <c r="M226" s="9">
        <f>IF(AND(K226&lt;&gt;"",L226&lt;&gt;""),ROUND(K226*L226,3),"")</f>
        <v/>
      </c>
      <c r="N226" s="9" t="n"/>
      <c r="O226" s="9" t="n"/>
      <c r="P226" s="9" t="n"/>
      <c r="Q226" s="9" t="n"/>
      <c r="R226" s="9" t="n"/>
    </row>
    <row r="227" ht="18" customHeight="1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>
        <f>IF(AND(D227&lt;&gt;"",H227&lt;&gt;""),ROUND(D227/H227,3),"")</f>
        <v/>
      </c>
      <c r="L227" s="10">
        <f>IF(AND(K227&lt;&gt;"",I227&lt;&gt;""),ROUND(K227/(I227/60),2),"")</f>
        <v/>
      </c>
      <c r="M227" s="10">
        <f>IF(AND(K227&lt;&gt;"",L227&lt;&gt;""),ROUND(K227*L227,3),"")</f>
        <v/>
      </c>
      <c r="N227" s="10" t="n"/>
      <c r="O227" s="10" t="n"/>
      <c r="P227" s="10" t="n"/>
      <c r="Q227" s="10" t="n"/>
      <c r="R227" s="10" t="n"/>
    </row>
    <row r="228" ht="18" customHeight="1">
      <c r="A228" s="9" t="n"/>
      <c r="B228" s="9" t="n"/>
      <c r="C228" s="9" t="n"/>
      <c r="D228" s="9" t="n"/>
      <c r="E228" s="9" t="n"/>
      <c r="F228" s="9" t="n"/>
      <c r="G228" s="9" t="n"/>
      <c r="H228" s="9" t="n"/>
      <c r="I228" s="9" t="n"/>
      <c r="J228" s="9" t="n"/>
      <c r="K228" s="9">
        <f>IF(AND(D228&lt;&gt;"",H228&lt;&gt;""),ROUND(D228/H228,3),"")</f>
        <v/>
      </c>
      <c r="L228" s="9">
        <f>IF(AND(K228&lt;&gt;"",I228&lt;&gt;""),ROUND(K228/(I228/60),2),"")</f>
        <v/>
      </c>
      <c r="M228" s="9">
        <f>IF(AND(K228&lt;&gt;"",L228&lt;&gt;""),ROUND(K228*L228,3),"")</f>
        <v/>
      </c>
      <c r="N228" s="9" t="n"/>
      <c r="O228" s="9" t="n"/>
      <c r="P228" s="9" t="n"/>
      <c r="Q228" s="9" t="n"/>
      <c r="R228" s="9" t="n"/>
    </row>
    <row r="229" ht="18" customHeight="1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>
        <f>IF(AND(D229&lt;&gt;"",H229&lt;&gt;""),ROUND(D229/H229,3),"")</f>
        <v/>
      </c>
      <c r="L229" s="10">
        <f>IF(AND(K229&lt;&gt;"",I229&lt;&gt;""),ROUND(K229/(I229/60),2),"")</f>
        <v/>
      </c>
      <c r="M229" s="10">
        <f>IF(AND(K229&lt;&gt;"",L229&lt;&gt;""),ROUND(K229*L229,3),"")</f>
        <v/>
      </c>
      <c r="N229" s="10" t="n"/>
      <c r="O229" s="10" t="n"/>
      <c r="P229" s="10" t="n"/>
      <c r="Q229" s="10" t="n"/>
      <c r="R229" s="10" t="n"/>
    </row>
    <row r="230" ht="18" customHeight="1">
      <c r="A230" s="9" t="n"/>
      <c r="B230" s="9" t="n"/>
      <c r="C230" s="9" t="n"/>
      <c r="D230" s="9" t="n"/>
      <c r="E230" s="9" t="n"/>
      <c r="F230" s="9" t="n"/>
      <c r="G230" s="9" t="n"/>
      <c r="H230" s="9" t="n"/>
      <c r="I230" s="9" t="n"/>
      <c r="J230" s="9" t="n"/>
      <c r="K230" s="9">
        <f>IF(AND(D230&lt;&gt;"",H230&lt;&gt;""),ROUND(D230/H230,3),"")</f>
        <v/>
      </c>
      <c r="L230" s="9">
        <f>IF(AND(K230&lt;&gt;"",I230&lt;&gt;""),ROUND(K230/(I230/60),2),"")</f>
        <v/>
      </c>
      <c r="M230" s="9">
        <f>IF(AND(K230&lt;&gt;"",L230&lt;&gt;""),ROUND(K230*L230,3),"")</f>
        <v/>
      </c>
      <c r="N230" s="9" t="n"/>
      <c r="O230" s="9" t="n"/>
      <c r="P230" s="9" t="n"/>
      <c r="Q230" s="9" t="n"/>
      <c r="R230" s="9" t="n"/>
    </row>
    <row r="231" ht="18" customHeight="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>
        <f>IF(AND(D231&lt;&gt;"",H231&lt;&gt;""),ROUND(D231/H231,3),"")</f>
        <v/>
      </c>
      <c r="L231" s="10">
        <f>IF(AND(K231&lt;&gt;"",I231&lt;&gt;""),ROUND(K231/(I231/60),2),"")</f>
        <v/>
      </c>
      <c r="M231" s="10">
        <f>IF(AND(K231&lt;&gt;"",L231&lt;&gt;""),ROUND(K231*L231,3),"")</f>
        <v/>
      </c>
      <c r="N231" s="10" t="n"/>
      <c r="O231" s="10" t="n"/>
      <c r="P231" s="10" t="n"/>
      <c r="Q231" s="10" t="n"/>
      <c r="R231" s="10" t="n"/>
    </row>
    <row r="232" ht="18" customHeight="1">
      <c r="A232" s="9" t="n"/>
      <c r="B232" s="9" t="n"/>
      <c r="C232" s="9" t="n"/>
      <c r="D232" s="9" t="n"/>
      <c r="E232" s="9" t="n"/>
      <c r="F232" s="9" t="n"/>
      <c r="G232" s="9" t="n"/>
      <c r="H232" s="9" t="n"/>
      <c r="I232" s="9" t="n"/>
      <c r="J232" s="9" t="n"/>
      <c r="K232" s="9">
        <f>IF(AND(D232&lt;&gt;"",H232&lt;&gt;""),ROUND(D232/H232,3),"")</f>
        <v/>
      </c>
      <c r="L232" s="9">
        <f>IF(AND(K232&lt;&gt;"",I232&lt;&gt;""),ROUND(K232/(I232/60),2),"")</f>
        <v/>
      </c>
      <c r="M232" s="9">
        <f>IF(AND(K232&lt;&gt;"",L232&lt;&gt;""),ROUND(K232*L232,3),"")</f>
        <v/>
      </c>
      <c r="N232" s="9" t="n"/>
      <c r="O232" s="9" t="n"/>
      <c r="P232" s="9" t="n"/>
      <c r="Q232" s="9" t="n"/>
      <c r="R232" s="9" t="n"/>
    </row>
    <row r="233" ht="18" customHeight="1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>
        <f>IF(AND(D233&lt;&gt;"",H233&lt;&gt;""),ROUND(D233/H233,3),"")</f>
        <v/>
      </c>
      <c r="L233" s="10">
        <f>IF(AND(K233&lt;&gt;"",I233&lt;&gt;""),ROUND(K233/(I233/60),2),"")</f>
        <v/>
      </c>
      <c r="M233" s="10">
        <f>IF(AND(K233&lt;&gt;"",L233&lt;&gt;""),ROUND(K233*L233,3),"")</f>
        <v/>
      </c>
      <c r="N233" s="10" t="n"/>
      <c r="O233" s="10" t="n"/>
      <c r="P233" s="10" t="n"/>
      <c r="Q233" s="10" t="n"/>
      <c r="R233" s="10" t="n"/>
    </row>
    <row r="234" ht="18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>
        <f>IF(AND(D234&lt;&gt;"",H234&lt;&gt;""),ROUND(D234/H234,3),"")</f>
        <v/>
      </c>
      <c r="L234" s="9">
        <f>IF(AND(K234&lt;&gt;"",I234&lt;&gt;""),ROUND(K234/(I234/60),2),"")</f>
        <v/>
      </c>
      <c r="M234" s="9">
        <f>IF(AND(K234&lt;&gt;"",L234&lt;&gt;""),ROUND(K234*L234,3),"")</f>
        <v/>
      </c>
      <c r="N234" s="9" t="n"/>
      <c r="O234" s="9" t="n"/>
      <c r="P234" s="9" t="n"/>
      <c r="Q234" s="9" t="n"/>
      <c r="R234" s="9" t="n"/>
    </row>
    <row r="235" ht="18" customHeight="1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>
        <f>IF(AND(D235&lt;&gt;"",H235&lt;&gt;""),ROUND(D235/H235,3),"")</f>
        <v/>
      </c>
      <c r="L235" s="10">
        <f>IF(AND(K235&lt;&gt;"",I235&lt;&gt;""),ROUND(K235/(I235/60),2),"")</f>
        <v/>
      </c>
      <c r="M235" s="10">
        <f>IF(AND(K235&lt;&gt;"",L235&lt;&gt;""),ROUND(K235*L235,3),"")</f>
        <v/>
      </c>
      <c r="N235" s="10" t="n"/>
      <c r="O235" s="10" t="n"/>
      <c r="P235" s="10" t="n"/>
      <c r="Q235" s="10" t="n"/>
      <c r="R235" s="10" t="n"/>
    </row>
    <row r="236" ht="18" customHeight="1">
      <c r="A236" s="9" t="n"/>
      <c r="B236" s="9" t="n"/>
      <c r="C236" s="9" t="n"/>
      <c r="D236" s="9" t="n"/>
      <c r="E236" s="9" t="n"/>
      <c r="F236" s="9" t="n"/>
      <c r="G236" s="9" t="n"/>
      <c r="H236" s="9" t="n"/>
      <c r="I236" s="9" t="n"/>
      <c r="J236" s="9" t="n"/>
      <c r="K236" s="9">
        <f>IF(AND(D236&lt;&gt;"",H236&lt;&gt;""),ROUND(D236/H236,3),"")</f>
        <v/>
      </c>
      <c r="L236" s="9">
        <f>IF(AND(K236&lt;&gt;"",I236&lt;&gt;""),ROUND(K236/(I236/60),2),"")</f>
        <v/>
      </c>
      <c r="M236" s="9">
        <f>IF(AND(K236&lt;&gt;"",L236&lt;&gt;""),ROUND(K236*L236,3),"")</f>
        <v/>
      </c>
      <c r="N236" s="9" t="n"/>
      <c r="O236" s="9" t="n"/>
      <c r="P236" s="9" t="n"/>
      <c r="Q236" s="9" t="n"/>
      <c r="R236" s="9" t="n"/>
    </row>
    <row r="237" ht="18" customHeight="1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>
        <f>IF(AND(D237&lt;&gt;"",H237&lt;&gt;""),ROUND(D237/H237,3),"")</f>
        <v/>
      </c>
      <c r="L237" s="10">
        <f>IF(AND(K237&lt;&gt;"",I237&lt;&gt;""),ROUND(K237/(I237/60),2),"")</f>
        <v/>
      </c>
      <c r="M237" s="10">
        <f>IF(AND(K237&lt;&gt;"",L237&lt;&gt;""),ROUND(K237*L237,3),"")</f>
        <v/>
      </c>
      <c r="N237" s="10" t="n"/>
      <c r="O237" s="10" t="n"/>
      <c r="P237" s="10" t="n"/>
      <c r="Q237" s="10" t="n"/>
      <c r="R237" s="10" t="n"/>
    </row>
    <row r="238" ht="18" customHeight="1">
      <c r="A238" s="9" t="n"/>
      <c r="B238" s="9" t="n"/>
      <c r="C238" s="9" t="n"/>
      <c r="D238" s="9" t="n"/>
      <c r="E238" s="9" t="n"/>
      <c r="F238" s="9" t="n"/>
      <c r="G238" s="9" t="n"/>
      <c r="H238" s="9" t="n"/>
      <c r="I238" s="9" t="n"/>
      <c r="J238" s="9" t="n"/>
      <c r="K238" s="9">
        <f>IF(AND(D238&lt;&gt;"",H238&lt;&gt;""),ROUND(D238/H238,3),"")</f>
        <v/>
      </c>
      <c r="L238" s="9">
        <f>IF(AND(K238&lt;&gt;"",I238&lt;&gt;""),ROUND(K238/(I238/60),2),"")</f>
        <v/>
      </c>
      <c r="M238" s="9">
        <f>IF(AND(K238&lt;&gt;"",L238&lt;&gt;""),ROUND(K238*L238,3),"")</f>
        <v/>
      </c>
      <c r="N238" s="9" t="n"/>
      <c r="O238" s="9" t="n"/>
      <c r="P238" s="9" t="n"/>
      <c r="Q238" s="9" t="n"/>
      <c r="R238" s="9" t="n"/>
    </row>
    <row r="239" ht="18" customHeight="1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>
        <f>IF(AND(D239&lt;&gt;"",H239&lt;&gt;""),ROUND(D239/H239,3),"")</f>
        <v/>
      </c>
      <c r="L239" s="10">
        <f>IF(AND(K239&lt;&gt;"",I239&lt;&gt;""),ROUND(K239/(I239/60),2),"")</f>
        <v/>
      </c>
      <c r="M239" s="10">
        <f>IF(AND(K239&lt;&gt;"",L239&lt;&gt;""),ROUND(K239*L239,3),"")</f>
        <v/>
      </c>
      <c r="N239" s="10" t="n"/>
      <c r="O239" s="10" t="n"/>
      <c r="P239" s="10" t="n"/>
      <c r="Q239" s="10" t="n"/>
      <c r="R239" s="10" t="n"/>
    </row>
    <row r="240" ht="18" customHeight="1">
      <c r="A240" s="9" t="n"/>
      <c r="B240" s="9" t="n"/>
      <c r="C240" s="9" t="n"/>
      <c r="D240" s="9" t="n"/>
      <c r="E240" s="9" t="n"/>
      <c r="F240" s="9" t="n"/>
      <c r="G240" s="9" t="n"/>
      <c r="H240" s="9" t="n"/>
      <c r="I240" s="9" t="n"/>
      <c r="J240" s="9" t="n"/>
      <c r="K240" s="9">
        <f>IF(AND(D240&lt;&gt;"",H240&lt;&gt;""),ROUND(D240/H240,3),"")</f>
        <v/>
      </c>
      <c r="L240" s="9">
        <f>IF(AND(K240&lt;&gt;"",I240&lt;&gt;""),ROUND(K240/(I240/60),2),"")</f>
        <v/>
      </c>
      <c r="M240" s="9">
        <f>IF(AND(K240&lt;&gt;"",L240&lt;&gt;""),ROUND(K240*L240,3),"")</f>
        <v/>
      </c>
      <c r="N240" s="9" t="n"/>
      <c r="O240" s="9" t="n"/>
      <c r="P240" s="9" t="n"/>
      <c r="Q240" s="9" t="n"/>
      <c r="R240" s="9" t="n"/>
    </row>
    <row r="241" ht="18" customHeight="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>
        <f>IF(AND(D241&lt;&gt;"",H241&lt;&gt;""),ROUND(D241/H241,3),"")</f>
        <v/>
      </c>
      <c r="L241" s="10">
        <f>IF(AND(K241&lt;&gt;"",I241&lt;&gt;""),ROUND(K241/(I241/60),2),"")</f>
        <v/>
      </c>
      <c r="M241" s="10">
        <f>IF(AND(K241&lt;&gt;"",L241&lt;&gt;""),ROUND(K241*L241,3),"")</f>
        <v/>
      </c>
      <c r="N241" s="10" t="n"/>
      <c r="O241" s="10" t="n"/>
      <c r="P241" s="10" t="n"/>
      <c r="Q241" s="10" t="n"/>
      <c r="R241" s="10" t="n"/>
    </row>
    <row r="242" ht="18" customHeight="1">
      <c r="A242" s="9" t="n"/>
      <c r="B242" s="9" t="n"/>
      <c r="C242" s="9" t="n"/>
      <c r="D242" s="9" t="n"/>
      <c r="E242" s="9" t="n"/>
      <c r="F242" s="9" t="n"/>
      <c r="G242" s="9" t="n"/>
      <c r="H242" s="9" t="n"/>
      <c r="I242" s="9" t="n"/>
      <c r="J242" s="9" t="n"/>
      <c r="K242" s="9">
        <f>IF(AND(D242&lt;&gt;"",H242&lt;&gt;""),ROUND(D242/H242,3),"")</f>
        <v/>
      </c>
      <c r="L242" s="9">
        <f>IF(AND(K242&lt;&gt;"",I242&lt;&gt;""),ROUND(K242/(I242/60),2),"")</f>
        <v/>
      </c>
      <c r="M242" s="9">
        <f>IF(AND(K242&lt;&gt;"",L242&lt;&gt;""),ROUND(K242*L242,3),"")</f>
        <v/>
      </c>
      <c r="N242" s="9" t="n"/>
      <c r="O242" s="9" t="n"/>
      <c r="P242" s="9" t="n"/>
      <c r="Q242" s="9" t="n"/>
      <c r="R242" s="9" t="n"/>
    </row>
    <row r="243" ht="18" customHeight="1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>
        <f>IF(AND(D243&lt;&gt;"",H243&lt;&gt;""),ROUND(D243/H243,3),"")</f>
        <v/>
      </c>
      <c r="L243" s="10">
        <f>IF(AND(K243&lt;&gt;"",I243&lt;&gt;""),ROUND(K243/(I243/60),2),"")</f>
        <v/>
      </c>
      <c r="M243" s="10">
        <f>IF(AND(K243&lt;&gt;"",L243&lt;&gt;""),ROUND(K243*L243,3),"")</f>
        <v/>
      </c>
      <c r="N243" s="10" t="n"/>
      <c r="O243" s="10" t="n"/>
      <c r="P243" s="10" t="n"/>
      <c r="Q243" s="10" t="n"/>
      <c r="R243" s="10" t="n"/>
    </row>
    <row r="244" ht="18" customHeight="1">
      <c r="A244" s="9" t="n"/>
      <c r="B244" s="9" t="n"/>
      <c r="C244" s="9" t="n"/>
      <c r="D244" s="9" t="n"/>
      <c r="E244" s="9" t="n"/>
      <c r="F244" s="9" t="n"/>
      <c r="G244" s="9" t="n"/>
      <c r="H244" s="9" t="n"/>
      <c r="I244" s="9" t="n"/>
      <c r="J244" s="9" t="n"/>
      <c r="K244" s="9">
        <f>IF(AND(D244&lt;&gt;"",H244&lt;&gt;""),ROUND(D244/H244,3),"")</f>
        <v/>
      </c>
      <c r="L244" s="9">
        <f>IF(AND(K244&lt;&gt;"",I244&lt;&gt;""),ROUND(K244/(I244/60),2),"")</f>
        <v/>
      </c>
      <c r="M244" s="9">
        <f>IF(AND(K244&lt;&gt;"",L244&lt;&gt;""),ROUND(K244*L244,3),"")</f>
        <v/>
      </c>
      <c r="N244" s="9" t="n"/>
      <c r="O244" s="9" t="n"/>
      <c r="P244" s="9" t="n"/>
      <c r="Q244" s="9" t="n"/>
      <c r="R244" s="9" t="n"/>
    </row>
    <row r="245" ht="18" customHeight="1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>
        <f>IF(AND(D245&lt;&gt;"",H245&lt;&gt;""),ROUND(D245/H245,3),"")</f>
        <v/>
      </c>
      <c r="L245" s="10">
        <f>IF(AND(K245&lt;&gt;"",I245&lt;&gt;""),ROUND(K245/(I245/60),2),"")</f>
        <v/>
      </c>
      <c r="M245" s="10">
        <f>IF(AND(K245&lt;&gt;"",L245&lt;&gt;""),ROUND(K245*L245,3),"")</f>
        <v/>
      </c>
      <c r="N245" s="10" t="n"/>
      <c r="O245" s="10" t="n"/>
      <c r="P245" s="10" t="n"/>
      <c r="Q245" s="10" t="n"/>
      <c r="R245" s="10" t="n"/>
    </row>
    <row r="246" ht="18" customHeight="1">
      <c r="A246" s="9" t="n"/>
      <c r="B246" s="9" t="n"/>
      <c r="C246" s="9" t="n"/>
      <c r="D246" s="9" t="n"/>
      <c r="E246" s="9" t="n"/>
      <c r="F246" s="9" t="n"/>
      <c r="G246" s="9" t="n"/>
      <c r="H246" s="9" t="n"/>
      <c r="I246" s="9" t="n"/>
      <c r="J246" s="9" t="n"/>
      <c r="K246" s="9">
        <f>IF(AND(D246&lt;&gt;"",H246&lt;&gt;""),ROUND(D246/H246,3),"")</f>
        <v/>
      </c>
      <c r="L246" s="9">
        <f>IF(AND(K246&lt;&gt;"",I246&lt;&gt;""),ROUND(K246/(I246/60),2),"")</f>
        <v/>
      </c>
      <c r="M246" s="9">
        <f>IF(AND(K246&lt;&gt;"",L246&lt;&gt;""),ROUND(K246*L246,3),"")</f>
        <v/>
      </c>
      <c r="N246" s="9" t="n"/>
      <c r="O246" s="9" t="n"/>
      <c r="P246" s="9" t="n"/>
      <c r="Q246" s="9" t="n"/>
      <c r="R246" s="9" t="n"/>
    </row>
    <row r="247" ht="18" customHeight="1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>
        <f>IF(AND(D247&lt;&gt;"",H247&lt;&gt;""),ROUND(D247/H247,3),"")</f>
        <v/>
      </c>
      <c r="L247" s="10">
        <f>IF(AND(K247&lt;&gt;"",I247&lt;&gt;""),ROUND(K247/(I247/60),2),"")</f>
        <v/>
      </c>
      <c r="M247" s="10">
        <f>IF(AND(K247&lt;&gt;"",L247&lt;&gt;""),ROUND(K247*L247,3),"")</f>
        <v/>
      </c>
      <c r="N247" s="10" t="n"/>
      <c r="O247" s="10" t="n"/>
      <c r="P247" s="10" t="n"/>
      <c r="Q247" s="10" t="n"/>
      <c r="R247" s="10" t="n"/>
    </row>
    <row r="248" ht="18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>
        <f>IF(AND(D248&lt;&gt;"",H248&lt;&gt;""),ROUND(D248/H248,3),"")</f>
        <v/>
      </c>
      <c r="L248" s="9">
        <f>IF(AND(K248&lt;&gt;"",I248&lt;&gt;""),ROUND(K248/(I248/60),2),"")</f>
        <v/>
      </c>
      <c r="M248" s="9">
        <f>IF(AND(K248&lt;&gt;"",L248&lt;&gt;""),ROUND(K248*L248,3),"")</f>
        <v/>
      </c>
      <c r="N248" s="9" t="n"/>
      <c r="O248" s="9" t="n"/>
      <c r="P248" s="9" t="n"/>
      <c r="Q248" s="9" t="n"/>
      <c r="R248" s="9" t="n"/>
    </row>
    <row r="249" ht="18" customHeight="1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>
        <f>IF(AND(D249&lt;&gt;"",H249&lt;&gt;""),ROUND(D249/H249,3),"")</f>
        <v/>
      </c>
      <c r="L249" s="10">
        <f>IF(AND(K249&lt;&gt;"",I249&lt;&gt;""),ROUND(K249/(I249/60),2),"")</f>
        <v/>
      </c>
      <c r="M249" s="10">
        <f>IF(AND(K249&lt;&gt;"",L249&lt;&gt;""),ROUND(K249*L249,3),"")</f>
        <v/>
      </c>
      <c r="N249" s="10" t="n"/>
      <c r="O249" s="10" t="n"/>
      <c r="P249" s="10" t="n"/>
      <c r="Q249" s="10" t="n"/>
      <c r="R249" s="10" t="n"/>
    </row>
    <row r="250" ht="18" customHeight="1">
      <c r="A250" s="9" t="n"/>
      <c r="B250" s="9" t="n"/>
      <c r="C250" s="9" t="n"/>
      <c r="D250" s="9" t="n"/>
      <c r="E250" s="9" t="n"/>
      <c r="F250" s="9" t="n"/>
      <c r="G250" s="9" t="n"/>
      <c r="H250" s="9" t="n"/>
      <c r="I250" s="9" t="n"/>
      <c r="J250" s="9" t="n"/>
      <c r="K250" s="9">
        <f>IF(AND(D250&lt;&gt;"",H250&lt;&gt;""),ROUND(D250/H250,3),"")</f>
        <v/>
      </c>
      <c r="L250" s="9">
        <f>IF(AND(K250&lt;&gt;"",I250&lt;&gt;""),ROUND(K250/(I250/60),2),"")</f>
        <v/>
      </c>
      <c r="M250" s="9">
        <f>IF(AND(K250&lt;&gt;"",L250&lt;&gt;""),ROUND(K250*L250,3),"")</f>
        <v/>
      </c>
      <c r="N250" s="9" t="n"/>
      <c r="O250" s="9" t="n"/>
      <c r="P250" s="9" t="n"/>
      <c r="Q250" s="9" t="n"/>
      <c r="R250" s="9" t="n"/>
    </row>
    <row r="251" ht="18" customHeight="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>
        <f>IF(AND(D251&lt;&gt;"",H251&lt;&gt;""),ROUND(D251/H251,3),"")</f>
        <v/>
      </c>
      <c r="L251" s="10">
        <f>IF(AND(K251&lt;&gt;"",I251&lt;&gt;""),ROUND(K251/(I251/60),2),"")</f>
        <v/>
      </c>
      <c r="M251" s="10">
        <f>IF(AND(K251&lt;&gt;"",L251&lt;&gt;""),ROUND(K251*L251,3),"")</f>
        <v/>
      </c>
      <c r="N251" s="10" t="n"/>
      <c r="O251" s="10" t="n"/>
      <c r="P251" s="10" t="n"/>
      <c r="Q251" s="10" t="n"/>
      <c r="R251" s="10" t="n"/>
    </row>
    <row r="252" ht="18" customHeight="1">
      <c r="A252" s="9" t="n"/>
      <c r="B252" s="9" t="n"/>
      <c r="C252" s="9" t="n"/>
      <c r="D252" s="9" t="n"/>
      <c r="E252" s="9" t="n"/>
      <c r="F252" s="9" t="n"/>
      <c r="G252" s="9" t="n"/>
      <c r="H252" s="9" t="n"/>
      <c r="I252" s="9" t="n"/>
      <c r="J252" s="9" t="n"/>
      <c r="K252" s="9">
        <f>IF(AND(D252&lt;&gt;"",H252&lt;&gt;""),ROUND(D252/H252,3),"")</f>
        <v/>
      </c>
      <c r="L252" s="9">
        <f>IF(AND(K252&lt;&gt;"",I252&lt;&gt;""),ROUND(K252/(I252/60),2),"")</f>
        <v/>
      </c>
      <c r="M252" s="9">
        <f>IF(AND(K252&lt;&gt;"",L252&lt;&gt;""),ROUND(K252*L252,3),"")</f>
        <v/>
      </c>
      <c r="N252" s="9" t="n"/>
      <c r="O252" s="9" t="n"/>
      <c r="P252" s="9" t="n"/>
      <c r="Q252" s="9" t="n"/>
      <c r="R252" s="9" t="n"/>
    </row>
    <row r="253" ht="18" customHeight="1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>
        <f>IF(AND(D253&lt;&gt;"",H253&lt;&gt;""),ROUND(D253/H253,3),"")</f>
        <v/>
      </c>
      <c r="L253" s="10">
        <f>IF(AND(K253&lt;&gt;"",I253&lt;&gt;""),ROUND(K253/(I253/60),2),"")</f>
        <v/>
      </c>
      <c r="M253" s="10">
        <f>IF(AND(K253&lt;&gt;"",L253&lt;&gt;""),ROUND(K253*L253,3),"")</f>
        <v/>
      </c>
      <c r="N253" s="10" t="n"/>
      <c r="O253" s="10" t="n"/>
      <c r="P253" s="10" t="n"/>
      <c r="Q253" s="10" t="n"/>
      <c r="R253" s="10" t="n"/>
    </row>
    <row r="254" ht="18" customHeight="1">
      <c r="A254" s="9" t="n"/>
      <c r="B254" s="9" t="n"/>
      <c r="C254" s="9" t="n"/>
      <c r="D254" s="9" t="n"/>
      <c r="E254" s="9" t="n"/>
      <c r="F254" s="9" t="n"/>
      <c r="G254" s="9" t="n"/>
      <c r="H254" s="9" t="n"/>
      <c r="I254" s="9" t="n"/>
      <c r="J254" s="9" t="n"/>
      <c r="K254" s="9">
        <f>IF(AND(D254&lt;&gt;"",H254&lt;&gt;""),ROUND(D254/H254,3),"")</f>
        <v/>
      </c>
      <c r="L254" s="9">
        <f>IF(AND(K254&lt;&gt;"",I254&lt;&gt;""),ROUND(K254/(I254/60),2),"")</f>
        <v/>
      </c>
      <c r="M254" s="9">
        <f>IF(AND(K254&lt;&gt;"",L254&lt;&gt;""),ROUND(K254*L254,3),"")</f>
        <v/>
      </c>
      <c r="N254" s="9" t="n"/>
      <c r="O254" s="9" t="n"/>
      <c r="P254" s="9" t="n"/>
      <c r="Q254" s="9" t="n"/>
      <c r="R254" s="9" t="n"/>
    </row>
    <row r="255" ht="18" customHeight="1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>
        <f>IF(AND(D255&lt;&gt;"",H255&lt;&gt;""),ROUND(D255/H255,3),"")</f>
        <v/>
      </c>
      <c r="L255" s="10">
        <f>IF(AND(K255&lt;&gt;"",I255&lt;&gt;""),ROUND(K255/(I255/60),2),"")</f>
        <v/>
      </c>
      <c r="M255" s="10">
        <f>IF(AND(K255&lt;&gt;"",L255&lt;&gt;""),ROUND(K255*L255,3),"")</f>
        <v/>
      </c>
      <c r="N255" s="10" t="n"/>
      <c r="O255" s="10" t="n"/>
      <c r="P255" s="10" t="n"/>
      <c r="Q255" s="10" t="n"/>
      <c r="R255" s="10" t="n"/>
    </row>
    <row r="256" ht="18" customHeight="1">
      <c r="A256" s="9" t="n"/>
      <c r="B256" s="9" t="n"/>
      <c r="C256" s="9" t="n"/>
      <c r="D256" s="9" t="n"/>
      <c r="E256" s="9" t="n"/>
      <c r="F256" s="9" t="n"/>
      <c r="G256" s="9" t="n"/>
      <c r="H256" s="9" t="n"/>
      <c r="I256" s="9" t="n"/>
      <c r="J256" s="9" t="n"/>
      <c r="K256" s="9">
        <f>IF(AND(D256&lt;&gt;"",H256&lt;&gt;""),ROUND(D256/H256,3),"")</f>
        <v/>
      </c>
      <c r="L256" s="9">
        <f>IF(AND(K256&lt;&gt;"",I256&lt;&gt;""),ROUND(K256/(I256/60),2),"")</f>
        <v/>
      </c>
      <c r="M256" s="9">
        <f>IF(AND(K256&lt;&gt;"",L256&lt;&gt;""),ROUND(K256*L256,3),"")</f>
        <v/>
      </c>
      <c r="N256" s="9" t="n"/>
      <c r="O256" s="9" t="n"/>
      <c r="P256" s="9" t="n"/>
      <c r="Q256" s="9" t="n"/>
      <c r="R256" s="9" t="n"/>
    </row>
    <row r="257" ht="18" customHeight="1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>
        <f>IF(AND(D257&lt;&gt;"",H257&lt;&gt;""),ROUND(D257/H257,3),"")</f>
        <v/>
      </c>
      <c r="L257" s="10">
        <f>IF(AND(K257&lt;&gt;"",I257&lt;&gt;""),ROUND(K257/(I257/60),2),"")</f>
        <v/>
      </c>
      <c r="M257" s="10">
        <f>IF(AND(K257&lt;&gt;"",L257&lt;&gt;""),ROUND(K257*L257,3),"")</f>
        <v/>
      </c>
      <c r="N257" s="10" t="n"/>
      <c r="O257" s="10" t="n"/>
      <c r="P257" s="10" t="n"/>
      <c r="Q257" s="10" t="n"/>
      <c r="R257" s="10" t="n"/>
    </row>
    <row r="258" ht="18" customHeight="1">
      <c r="A258" s="9" t="n"/>
      <c r="B258" s="9" t="n"/>
      <c r="C258" s="9" t="n"/>
      <c r="D258" s="9" t="n"/>
      <c r="E258" s="9" t="n"/>
      <c r="F258" s="9" t="n"/>
      <c r="G258" s="9" t="n"/>
      <c r="H258" s="9" t="n"/>
      <c r="I258" s="9" t="n"/>
      <c r="J258" s="9" t="n"/>
      <c r="K258" s="9">
        <f>IF(AND(D258&lt;&gt;"",H258&lt;&gt;""),ROUND(D258/H258,3),"")</f>
        <v/>
      </c>
      <c r="L258" s="9">
        <f>IF(AND(K258&lt;&gt;"",I258&lt;&gt;""),ROUND(K258/(I258/60),2),"")</f>
        <v/>
      </c>
      <c r="M258" s="9">
        <f>IF(AND(K258&lt;&gt;"",L258&lt;&gt;""),ROUND(K258*L258,3),"")</f>
        <v/>
      </c>
      <c r="N258" s="9" t="n"/>
      <c r="O258" s="9" t="n"/>
      <c r="P258" s="9" t="n"/>
      <c r="Q258" s="9" t="n"/>
      <c r="R258" s="9" t="n"/>
    </row>
    <row r="259" ht="18" customHeight="1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>
        <f>IF(AND(D259&lt;&gt;"",H259&lt;&gt;""),ROUND(D259/H259,3),"")</f>
        <v/>
      </c>
      <c r="L259" s="10">
        <f>IF(AND(K259&lt;&gt;"",I259&lt;&gt;""),ROUND(K259/(I259/60),2),"")</f>
        <v/>
      </c>
      <c r="M259" s="10">
        <f>IF(AND(K259&lt;&gt;"",L259&lt;&gt;""),ROUND(K259*L259,3),"")</f>
        <v/>
      </c>
      <c r="N259" s="10" t="n"/>
      <c r="O259" s="10" t="n"/>
      <c r="P259" s="10" t="n"/>
      <c r="Q259" s="10" t="n"/>
      <c r="R259" s="10" t="n"/>
    </row>
    <row r="260" ht="18" customHeight="1">
      <c r="A260" s="9" t="n"/>
      <c r="B260" s="9" t="n"/>
      <c r="C260" s="9" t="n"/>
      <c r="D260" s="9" t="n"/>
      <c r="E260" s="9" t="n"/>
      <c r="F260" s="9" t="n"/>
      <c r="G260" s="9" t="n"/>
      <c r="H260" s="9" t="n"/>
      <c r="I260" s="9" t="n"/>
      <c r="J260" s="9" t="n"/>
      <c r="K260" s="9">
        <f>IF(AND(D260&lt;&gt;"",H260&lt;&gt;""),ROUND(D260/H260,3),"")</f>
        <v/>
      </c>
      <c r="L260" s="9">
        <f>IF(AND(K260&lt;&gt;"",I260&lt;&gt;""),ROUND(K260/(I260/60),2),"")</f>
        <v/>
      </c>
      <c r="M260" s="9">
        <f>IF(AND(K260&lt;&gt;"",L260&lt;&gt;""),ROUND(K260*L260,3),"")</f>
        <v/>
      </c>
      <c r="N260" s="9" t="n"/>
      <c r="O260" s="9" t="n"/>
      <c r="P260" s="9" t="n"/>
      <c r="Q260" s="9" t="n"/>
      <c r="R260" s="9" t="n"/>
    </row>
    <row r="261" ht="18" customHeight="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>
        <f>IF(AND(D261&lt;&gt;"",H261&lt;&gt;""),ROUND(D261/H261,3),"")</f>
        <v/>
      </c>
      <c r="L261" s="10">
        <f>IF(AND(K261&lt;&gt;"",I261&lt;&gt;""),ROUND(K261/(I261/60),2),"")</f>
        <v/>
      </c>
      <c r="M261" s="10">
        <f>IF(AND(K261&lt;&gt;"",L261&lt;&gt;""),ROUND(K261*L261,3),"")</f>
        <v/>
      </c>
      <c r="N261" s="10" t="n"/>
      <c r="O261" s="10" t="n"/>
      <c r="P261" s="10" t="n"/>
      <c r="Q261" s="10" t="n"/>
      <c r="R261" s="10" t="n"/>
    </row>
    <row r="262" ht="18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>
        <f>IF(AND(D262&lt;&gt;"",H262&lt;&gt;""),ROUND(D262/H262,3),"")</f>
        <v/>
      </c>
      <c r="L262" s="9">
        <f>IF(AND(K262&lt;&gt;"",I262&lt;&gt;""),ROUND(K262/(I262/60),2),"")</f>
        <v/>
      </c>
      <c r="M262" s="9">
        <f>IF(AND(K262&lt;&gt;"",L262&lt;&gt;""),ROUND(K262*L262,3),"")</f>
        <v/>
      </c>
      <c r="N262" s="9" t="n"/>
      <c r="O262" s="9" t="n"/>
      <c r="P262" s="9" t="n"/>
      <c r="Q262" s="9" t="n"/>
      <c r="R262" s="9" t="n"/>
    </row>
    <row r="263" ht="18" customHeight="1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>
        <f>IF(AND(D263&lt;&gt;"",H263&lt;&gt;""),ROUND(D263/H263,3),"")</f>
        <v/>
      </c>
      <c r="L263" s="10">
        <f>IF(AND(K263&lt;&gt;"",I263&lt;&gt;""),ROUND(K263/(I263/60),2),"")</f>
        <v/>
      </c>
      <c r="M263" s="10">
        <f>IF(AND(K263&lt;&gt;"",L263&lt;&gt;""),ROUND(K263*L263,3),"")</f>
        <v/>
      </c>
      <c r="N263" s="10" t="n"/>
      <c r="O263" s="10" t="n"/>
      <c r="P263" s="10" t="n"/>
      <c r="Q263" s="10" t="n"/>
      <c r="R263" s="10" t="n"/>
    </row>
    <row r="264" ht="18" customHeight="1">
      <c r="A264" s="9" t="n"/>
      <c r="B264" s="9" t="n"/>
      <c r="C264" s="9" t="n"/>
      <c r="D264" s="9" t="n"/>
      <c r="E264" s="9" t="n"/>
      <c r="F264" s="9" t="n"/>
      <c r="G264" s="9" t="n"/>
      <c r="H264" s="9" t="n"/>
      <c r="I264" s="9" t="n"/>
      <c r="J264" s="9" t="n"/>
      <c r="K264" s="9">
        <f>IF(AND(D264&lt;&gt;"",H264&lt;&gt;""),ROUND(D264/H264,3),"")</f>
        <v/>
      </c>
      <c r="L264" s="9">
        <f>IF(AND(K264&lt;&gt;"",I264&lt;&gt;""),ROUND(K264/(I264/60),2),"")</f>
        <v/>
      </c>
      <c r="M264" s="9">
        <f>IF(AND(K264&lt;&gt;"",L264&lt;&gt;""),ROUND(K264*L264,3),"")</f>
        <v/>
      </c>
      <c r="N264" s="9" t="n"/>
      <c r="O264" s="9" t="n"/>
      <c r="P264" s="9" t="n"/>
      <c r="Q264" s="9" t="n"/>
      <c r="R264" s="9" t="n"/>
    </row>
    <row r="265" ht="18" customHeight="1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>
        <f>IF(AND(D265&lt;&gt;"",H265&lt;&gt;""),ROUND(D265/H265,3),"")</f>
        <v/>
      </c>
      <c r="L265" s="10">
        <f>IF(AND(K265&lt;&gt;"",I265&lt;&gt;""),ROUND(K265/(I265/60),2),"")</f>
        <v/>
      </c>
      <c r="M265" s="10">
        <f>IF(AND(K265&lt;&gt;"",L265&lt;&gt;""),ROUND(K265*L265,3),"")</f>
        <v/>
      </c>
      <c r="N265" s="10" t="n"/>
      <c r="O265" s="10" t="n"/>
      <c r="P265" s="10" t="n"/>
      <c r="Q265" s="10" t="n"/>
      <c r="R265" s="10" t="n"/>
    </row>
    <row r="266" ht="18" customHeight="1">
      <c r="A266" s="9" t="n"/>
      <c r="B266" s="9" t="n"/>
      <c r="C266" s="9" t="n"/>
      <c r="D266" s="9" t="n"/>
      <c r="E266" s="9" t="n"/>
      <c r="F266" s="9" t="n"/>
      <c r="G266" s="9" t="n"/>
      <c r="H266" s="9" t="n"/>
      <c r="I266" s="9" t="n"/>
      <c r="J266" s="9" t="n"/>
      <c r="K266" s="9">
        <f>IF(AND(D266&lt;&gt;"",H266&lt;&gt;""),ROUND(D266/H266,3),"")</f>
        <v/>
      </c>
      <c r="L266" s="9">
        <f>IF(AND(K266&lt;&gt;"",I266&lt;&gt;""),ROUND(K266/(I266/60),2),"")</f>
        <v/>
      </c>
      <c r="M266" s="9">
        <f>IF(AND(K266&lt;&gt;"",L266&lt;&gt;""),ROUND(K266*L266,3),"")</f>
        <v/>
      </c>
      <c r="N266" s="9" t="n"/>
      <c r="O266" s="9" t="n"/>
      <c r="P266" s="9" t="n"/>
      <c r="Q266" s="9" t="n"/>
      <c r="R266" s="9" t="n"/>
    </row>
    <row r="267" ht="18" customHeight="1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>
        <f>IF(AND(D267&lt;&gt;"",H267&lt;&gt;""),ROUND(D267/H267,3),"")</f>
        <v/>
      </c>
      <c r="L267" s="10">
        <f>IF(AND(K267&lt;&gt;"",I267&lt;&gt;""),ROUND(K267/(I267/60),2),"")</f>
        <v/>
      </c>
      <c r="M267" s="10">
        <f>IF(AND(K267&lt;&gt;"",L267&lt;&gt;""),ROUND(K267*L267,3),"")</f>
        <v/>
      </c>
      <c r="N267" s="10" t="n"/>
      <c r="O267" s="10" t="n"/>
      <c r="P267" s="10" t="n"/>
      <c r="Q267" s="10" t="n"/>
      <c r="R267" s="10" t="n"/>
    </row>
    <row r="268" ht="18" customHeight="1">
      <c r="A268" s="9" t="n"/>
      <c r="B268" s="9" t="n"/>
      <c r="C268" s="9" t="n"/>
      <c r="D268" s="9" t="n"/>
      <c r="E268" s="9" t="n"/>
      <c r="F268" s="9" t="n"/>
      <c r="G268" s="9" t="n"/>
      <c r="H268" s="9" t="n"/>
      <c r="I268" s="9" t="n"/>
      <c r="J268" s="9" t="n"/>
      <c r="K268" s="9">
        <f>IF(AND(D268&lt;&gt;"",H268&lt;&gt;""),ROUND(D268/H268,3),"")</f>
        <v/>
      </c>
      <c r="L268" s="9">
        <f>IF(AND(K268&lt;&gt;"",I268&lt;&gt;""),ROUND(K268/(I268/60),2),"")</f>
        <v/>
      </c>
      <c r="M268" s="9">
        <f>IF(AND(K268&lt;&gt;"",L268&lt;&gt;""),ROUND(K268*L268,3),"")</f>
        <v/>
      </c>
      <c r="N268" s="9" t="n"/>
      <c r="O268" s="9" t="n"/>
      <c r="P268" s="9" t="n"/>
      <c r="Q268" s="9" t="n"/>
      <c r="R268" s="9" t="n"/>
    </row>
    <row r="269" ht="18" customHeight="1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>
        <f>IF(AND(D269&lt;&gt;"",H269&lt;&gt;""),ROUND(D269/H269,3),"")</f>
        <v/>
      </c>
      <c r="L269" s="10">
        <f>IF(AND(K269&lt;&gt;"",I269&lt;&gt;""),ROUND(K269/(I269/60),2),"")</f>
        <v/>
      </c>
      <c r="M269" s="10">
        <f>IF(AND(K269&lt;&gt;"",L269&lt;&gt;""),ROUND(K269*L269,3),"")</f>
        <v/>
      </c>
      <c r="N269" s="10" t="n"/>
      <c r="O269" s="10" t="n"/>
      <c r="P269" s="10" t="n"/>
      <c r="Q269" s="10" t="n"/>
      <c r="R269" s="10" t="n"/>
    </row>
    <row r="270" ht="18" customHeight="1">
      <c r="A270" s="9" t="n"/>
      <c r="B270" s="9" t="n"/>
      <c r="C270" s="9" t="n"/>
      <c r="D270" s="9" t="n"/>
      <c r="E270" s="9" t="n"/>
      <c r="F270" s="9" t="n"/>
      <c r="G270" s="9" t="n"/>
      <c r="H270" s="9" t="n"/>
      <c r="I270" s="9" t="n"/>
      <c r="J270" s="9" t="n"/>
      <c r="K270" s="9">
        <f>IF(AND(D270&lt;&gt;"",H270&lt;&gt;""),ROUND(D270/H270,3),"")</f>
        <v/>
      </c>
      <c r="L270" s="9">
        <f>IF(AND(K270&lt;&gt;"",I270&lt;&gt;""),ROUND(K270/(I270/60),2),"")</f>
        <v/>
      </c>
      <c r="M270" s="9">
        <f>IF(AND(K270&lt;&gt;"",L270&lt;&gt;""),ROUND(K270*L270,3),"")</f>
        <v/>
      </c>
      <c r="N270" s="9" t="n"/>
      <c r="O270" s="9" t="n"/>
      <c r="P270" s="9" t="n"/>
      <c r="Q270" s="9" t="n"/>
      <c r="R270" s="9" t="n"/>
    </row>
    <row r="271" ht="18" customHeight="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>
        <f>IF(AND(D271&lt;&gt;"",H271&lt;&gt;""),ROUND(D271/H271,3),"")</f>
        <v/>
      </c>
      <c r="L271" s="10">
        <f>IF(AND(K271&lt;&gt;"",I271&lt;&gt;""),ROUND(K271/(I271/60),2),"")</f>
        <v/>
      </c>
      <c r="M271" s="10">
        <f>IF(AND(K271&lt;&gt;"",L271&lt;&gt;""),ROUND(K271*L271,3),"")</f>
        <v/>
      </c>
      <c r="N271" s="10" t="n"/>
      <c r="O271" s="10" t="n"/>
      <c r="P271" s="10" t="n"/>
      <c r="Q271" s="10" t="n"/>
      <c r="R271" s="10" t="n"/>
    </row>
    <row r="272" ht="18" customHeight="1">
      <c r="A272" s="9" t="n"/>
      <c r="B272" s="9" t="n"/>
      <c r="C272" s="9" t="n"/>
      <c r="D272" s="9" t="n"/>
      <c r="E272" s="9" t="n"/>
      <c r="F272" s="9" t="n"/>
      <c r="G272" s="9" t="n"/>
      <c r="H272" s="9" t="n"/>
      <c r="I272" s="9" t="n"/>
      <c r="J272" s="9" t="n"/>
      <c r="K272" s="9">
        <f>IF(AND(D272&lt;&gt;"",H272&lt;&gt;""),ROUND(D272/H272,3),"")</f>
        <v/>
      </c>
      <c r="L272" s="9">
        <f>IF(AND(K272&lt;&gt;"",I272&lt;&gt;""),ROUND(K272/(I272/60),2),"")</f>
        <v/>
      </c>
      <c r="M272" s="9">
        <f>IF(AND(K272&lt;&gt;"",L272&lt;&gt;""),ROUND(K272*L272,3),"")</f>
        <v/>
      </c>
      <c r="N272" s="9" t="n"/>
      <c r="O272" s="9" t="n"/>
      <c r="P272" s="9" t="n"/>
      <c r="Q272" s="9" t="n"/>
      <c r="R272" s="9" t="n"/>
    </row>
    <row r="273" ht="18" customHeight="1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>
        <f>IF(AND(D273&lt;&gt;"",H273&lt;&gt;""),ROUND(D273/H273,3),"")</f>
        <v/>
      </c>
      <c r="L273" s="10">
        <f>IF(AND(K273&lt;&gt;"",I273&lt;&gt;""),ROUND(K273/(I273/60),2),"")</f>
        <v/>
      </c>
      <c r="M273" s="10">
        <f>IF(AND(K273&lt;&gt;"",L273&lt;&gt;""),ROUND(K273*L273,3),"")</f>
        <v/>
      </c>
      <c r="N273" s="10" t="n"/>
      <c r="O273" s="10" t="n"/>
      <c r="P273" s="10" t="n"/>
      <c r="Q273" s="10" t="n"/>
      <c r="R273" s="10" t="n"/>
    </row>
    <row r="274" ht="18" customHeight="1">
      <c r="A274" s="9" t="n"/>
      <c r="B274" s="9" t="n"/>
      <c r="C274" s="9" t="n"/>
      <c r="D274" s="9" t="n"/>
      <c r="E274" s="9" t="n"/>
      <c r="F274" s="9" t="n"/>
      <c r="G274" s="9" t="n"/>
      <c r="H274" s="9" t="n"/>
      <c r="I274" s="9" t="n"/>
      <c r="J274" s="9" t="n"/>
      <c r="K274" s="9">
        <f>IF(AND(D274&lt;&gt;"",H274&lt;&gt;""),ROUND(D274/H274,3),"")</f>
        <v/>
      </c>
      <c r="L274" s="9">
        <f>IF(AND(K274&lt;&gt;"",I274&lt;&gt;""),ROUND(K274/(I274/60),2),"")</f>
        <v/>
      </c>
      <c r="M274" s="9">
        <f>IF(AND(K274&lt;&gt;"",L274&lt;&gt;""),ROUND(K274*L274,3),"")</f>
        <v/>
      </c>
      <c r="N274" s="9" t="n"/>
      <c r="O274" s="9" t="n"/>
      <c r="P274" s="9" t="n"/>
      <c r="Q274" s="9" t="n"/>
      <c r="R274" s="9" t="n"/>
    </row>
    <row r="275" ht="18" customHeight="1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>
        <f>IF(AND(D275&lt;&gt;"",H275&lt;&gt;""),ROUND(D275/H275,3),"")</f>
        <v/>
      </c>
      <c r="L275" s="10">
        <f>IF(AND(K275&lt;&gt;"",I275&lt;&gt;""),ROUND(K275/(I275/60),2),"")</f>
        <v/>
      </c>
      <c r="M275" s="10">
        <f>IF(AND(K275&lt;&gt;"",L275&lt;&gt;""),ROUND(K275*L275,3),"")</f>
        <v/>
      </c>
      <c r="N275" s="10" t="n"/>
      <c r="O275" s="10" t="n"/>
      <c r="P275" s="10" t="n"/>
      <c r="Q275" s="10" t="n"/>
      <c r="R275" s="10" t="n"/>
    </row>
    <row r="276" ht="18" customHeight="1">
      <c r="A276" s="9" t="n"/>
      <c r="B276" s="9" t="n"/>
      <c r="C276" s="9" t="n"/>
      <c r="D276" s="9" t="n"/>
      <c r="E276" s="9" t="n"/>
      <c r="F276" s="9" t="n"/>
      <c r="G276" s="9" t="n"/>
      <c r="H276" s="9" t="n"/>
      <c r="I276" s="9" t="n"/>
      <c r="J276" s="9" t="n"/>
      <c r="K276" s="9">
        <f>IF(AND(D276&lt;&gt;"",H276&lt;&gt;""),ROUND(D276/H276,3),"")</f>
        <v/>
      </c>
      <c r="L276" s="9">
        <f>IF(AND(K276&lt;&gt;"",I276&lt;&gt;""),ROUND(K276/(I276/60),2),"")</f>
        <v/>
      </c>
      <c r="M276" s="9">
        <f>IF(AND(K276&lt;&gt;"",L276&lt;&gt;""),ROUND(K276*L276,3),"")</f>
        <v/>
      </c>
      <c r="N276" s="9" t="n"/>
      <c r="O276" s="9" t="n"/>
      <c r="P276" s="9" t="n"/>
      <c r="Q276" s="9" t="n"/>
      <c r="R276" s="9" t="n"/>
    </row>
    <row r="277" ht="18" customHeight="1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>
        <f>IF(AND(D277&lt;&gt;"",H277&lt;&gt;""),ROUND(D277/H277,3),"")</f>
        <v/>
      </c>
      <c r="L277" s="10">
        <f>IF(AND(K277&lt;&gt;"",I277&lt;&gt;""),ROUND(K277/(I277/60),2),"")</f>
        <v/>
      </c>
      <c r="M277" s="10">
        <f>IF(AND(K277&lt;&gt;"",L277&lt;&gt;""),ROUND(K277*L277,3),"")</f>
        <v/>
      </c>
      <c r="N277" s="10" t="n"/>
      <c r="O277" s="10" t="n"/>
      <c r="P277" s="10" t="n"/>
      <c r="Q277" s="10" t="n"/>
      <c r="R277" s="10" t="n"/>
    </row>
    <row r="278" ht="18" customHeight="1">
      <c r="A278" s="9" t="n"/>
      <c r="B278" s="9" t="n"/>
      <c r="C278" s="9" t="n"/>
      <c r="D278" s="9" t="n"/>
      <c r="E278" s="9" t="n"/>
      <c r="F278" s="9" t="n"/>
      <c r="G278" s="9" t="n"/>
      <c r="H278" s="9" t="n"/>
      <c r="I278" s="9" t="n"/>
      <c r="J278" s="9" t="n"/>
      <c r="K278" s="9">
        <f>IF(AND(D278&lt;&gt;"",H278&lt;&gt;""),ROUND(D278/H278,3),"")</f>
        <v/>
      </c>
      <c r="L278" s="9">
        <f>IF(AND(K278&lt;&gt;"",I278&lt;&gt;""),ROUND(K278/(I278/60),2),"")</f>
        <v/>
      </c>
      <c r="M278" s="9">
        <f>IF(AND(K278&lt;&gt;"",L278&lt;&gt;""),ROUND(K278*L278,3),"")</f>
        <v/>
      </c>
      <c r="N278" s="9" t="n"/>
      <c r="O278" s="9" t="n"/>
      <c r="P278" s="9" t="n"/>
      <c r="Q278" s="9" t="n"/>
      <c r="R278" s="9" t="n"/>
    </row>
    <row r="279" ht="18" customHeight="1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>
        <f>IF(AND(D279&lt;&gt;"",H279&lt;&gt;""),ROUND(D279/H279,3),"")</f>
        <v/>
      </c>
      <c r="L279" s="10">
        <f>IF(AND(K279&lt;&gt;"",I279&lt;&gt;""),ROUND(K279/(I279/60),2),"")</f>
        <v/>
      </c>
      <c r="M279" s="10">
        <f>IF(AND(K279&lt;&gt;"",L279&lt;&gt;""),ROUND(K279*L279,3),"")</f>
        <v/>
      </c>
      <c r="N279" s="10" t="n"/>
      <c r="O279" s="10" t="n"/>
      <c r="P279" s="10" t="n"/>
      <c r="Q279" s="10" t="n"/>
      <c r="R279" s="10" t="n"/>
    </row>
    <row r="280" ht="18" customHeight="1">
      <c r="A280" s="9" t="n"/>
      <c r="B280" s="9" t="n"/>
      <c r="C280" s="9" t="n"/>
      <c r="D280" s="9" t="n"/>
      <c r="E280" s="9" t="n"/>
      <c r="F280" s="9" t="n"/>
      <c r="G280" s="9" t="n"/>
      <c r="H280" s="9" t="n"/>
      <c r="I280" s="9" t="n"/>
      <c r="J280" s="9" t="n"/>
      <c r="K280" s="9">
        <f>IF(AND(D280&lt;&gt;"",H280&lt;&gt;""),ROUND(D280/H280,3),"")</f>
        <v/>
      </c>
      <c r="L280" s="9">
        <f>IF(AND(K280&lt;&gt;"",I280&lt;&gt;""),ROUND(K280/(I280/60),2),"")</f>
        <v/>
      </c>
      <c r="M280" s="9">
        <f>IF(AND(K280&lt;&gt;"",L280&lt;&gt;""),ROUND(K280*L280,3),"")</f>
        <v/>
      </c>
      <c r="N280" s="9" t="n"/>
      <c r="O280" s="9" t="n"/>
      <c r="P280" s="9" t="n"/>
      <c r="Q280" s="9" t="n"/>
      <c r="R280" s="9" t="n"/>
    </row>
    <row r="281" ht="18" customHeight="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>
        <f>IF(AND(D281&lt;&gt;"",H281&lt;&gt;""),ROUND(D281/H281,3),"")</f>
        <v/>
      </c>
      <c r="L281" s="10">
        <f>IF(AND(K281&lt;&gt;"",I281&lt;&gt;""),ROUND(K281/(I281/60),2),"")</f>
        <v/>
      </c>
      <c r="M281" s="10">
        <f>IF(AND(K281&lt;&gt;"",L281&lt;&gt;""),ROUND(K281*L281,3),"")</f>
        <v/>
      </c>
      <c r="N281" s="10" t="n"/>
      <c r="O281" s="10" t="n"/>
      <c r="P281" s="10" t="n"/>
      <c r="Q281" s="10" t="n"/>
      <c r="R281" s="10" t="n"/>
    </row>
    <row r="282" ht="18" customHeight="1">
      <c r="A282" s="9" t="n"/>
      <c r="B282" s="9" t="n"/>
      <c r="C282" s="9" t="n"/>
      <c r="D282" s="9" t="n"/>
      <c r="E282" s="9" t="n"/>
      <c r="F282" s="9" t="n"/>
      <c r="G282" s="9" t="n"/>
      <c r="H282" s="9" t="n"/>
      <c r="I282" s="9" t="n"/>
      <c r="J282" s="9" t="n"/>
      <c r="K282" s="9">
        <f>IF(AND(D282&lt;&gt;"",H282&lt;&gt;""),ROUND(D282/H282,3),"")</f>
        <v/>
      </c>
      <c r="L282" s="9">
        <f>IF(AND(K282&lt;&gt;"",I282&lt;&gt;""),ROUND(K282/(I282/60),2),"")</f>
        <v/>
      </c>
      <c r="M282" s="9">
        <f>IF(AND(K282&lt;&gt;"",L282&lt;&gt;""),ROUND(K282*L282,3),"")</f>
        <v/>
      </c>
      <c r="N282" s="9" t="n"/>
      <c r="O282" s="9" t="n"/>
      <c r="P282" s="9" t="n"/>
      <c r="Q282" s="9" t="n"/>
      <c r="R282" s="9" t="n"/>
    </row>
    <row r="283" ht="18" customHeight="1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>
        <f>IF(AND(D283&lt;&gt;"",H283&lt;&gt;""),ROUND(D283/H283,3),"")</f>
        <v/>
      </c>
      <c r="L283" s="10">
        <f>IF(AND(K283&lt;&gt;"",I283&lt;&gt;""),ROUND(K283/(I283/60),2),"")</f>
        <v/>
      </c>
      <c r="M283" s="10">
        <f>IF(AND(K283&lt;&gt;"",L283&lt;&gt;""),ROUND(K283*L283,3),"")</f>
        <v/>
      </c>
      <c r="N283" s="10" t="n"/>
      <c r="O283" s="10" t="n"/>
      <c r="P283" s="10" t="n"/>
      <c r="Q283" s="10" t="n"/>
      <c r="R283" s="10" t="n"/>
    </row>
    <row r="284" ht="18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>
        <f>IF(AND(D284&lt;&gt;"",H284&lt;&gt;""),ROUND(D284/H284,3),"")</f>
        <v/>
      </c>
      <c r="L284" s="9">
        <f>IF(AND(K284&lt;&gt;"",I284&lt;&gt;""),ROUND(K284/(I284/60),2),"")</f>
        <v/>
      </c>
      <c r="M284" s="9">
        <f>IF(AND(K284&lt;&gt;"",L284&lt;&gt;""),ROUND(K284*L284,3),"")</f>
        <v/>
      </c>
      <c r="N284" s="9" t="n"/>
      <c r="O284" s="9" t="n"/>
      <c r="P284" s="9" t="n"/>
      <c r="Q284" s="9" t="n"/>
      <c r="R284" s="9" t="n"/>
    </row>
    <row r="285" ht="18" customHeight="1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>
        <f>IF(AND(D285&lt;&gt;"",H285&lt;&gt;""),ROUND(D285/H285,3),"")</f>
        <v/>
      </c>
      <c r="L285" s="10">
        <f>IF(AND(K285&lt;&gt;"",I285&lt;&gt;""),ROUND(K285/(I285/60),2),"")</f>
        <v/>
      </c>
      <c r="M285" s="10">
        <f>IF(AND(K285&lt;&gt;"",L285&lt;&gt;""),ROUND(K285*L285,3),"")</f>
        <v/>
      </c>
      <c r="N285" s="10" t="n"/>
      <c r="O285" s="10" t="n"/>
      <c r="P285" s="10" t="n"/>
      <c r="Q285" s="10" t="n"/>
      <c r="R285" s="10" t="n"/>
    </row>
    <row r="286" ht="18" customHeight="1">
      <c r="A286" s="9" t="n"/>
      <c r="B286" s="9" t="n"/>
      <c r="C286" s="9" t="n"/>
      <c r="D286" s="9" t="n"/>
      <c r="E286" s="9" t="n"/>
      <c r="F286" s="9" t="n"/>
      <c r="G286" s="9" t="n"/>
      <c r="H286" s="9" t="n"/>
      <c r="I286" s="9" t="n"/>
      <c r="J286" s="9" t="n"/>
      <c r="K286" s="9">
        <f>IF(AND(D286&lt;&gt;"",H286&lt;&gt;""),ROUND(D286/H286,3),"")</f>
        <v/>
      </c>
      <c r="L286" s="9">
        <f>IF(AND(K286&lt;&gt;"",I286&lt;&gt;""),ROUND(K286/(I286/60),2),"")</f>
        <v/>
      </c>
      <c r="M286" s="9">
        <f>IF(AND(K286&lt;&gt;"",L286&lt;&gt;""),ROUND(K286*L286,3),"")</f>
        <v/>
      </c>
      <c r="N286" s="9" t="n"/>
      <c r="O286" s="9" t="n"/>
      <c r="P286" s="9" t="n"/>
      <c r="Q286" s="9" t="n"/>
      <c r="R286" s="9" t="n"/>
    </row>
    <row r="287" ht="18" customHeight="1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>
        <f>IF(AND(D287&lt;&gt;"",H287&lt;&gt;""),ROUND(D287/H287,3),"")</f>
        <v/>
      </c>
      <c r="L287" s="10">
        <f>IF(AND(K287&lt;&gt;"",I287&lt;&gt;""),ROUND(K287/(I287/60),2),"")</f>
        <v/>
      </c>
      <c r="M287" s="10">
        <f>IF(AND(K287&lt;&gt;"",L287&lt;&gt;""),ROUND(K287*L287,3),"")</f>
        <v/>
      </c>
      <c r="N287" s="10" t="n"/>
      <c r="O287" s="10" t="n"/>
      <c r="P287" s="10" t="n"/>
      <c r="Q287" s="10" t="n"/>
      <c r="R287" s="10" t="n"/>
    </row>
    <row r="288" ht="18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>
        <f>IF(AND(D288&lt;&gt;"",H288&lt;&gt;""),ROUND(D288/H288,3),"")</f>
        <v/>
      </c>
      <c r="L288" s="9">
        <f>IF(AND(K288&lt;&gt;"",I288&lt;&gt;""),ROUND(K288/(I288/60),2),"")</f>
        <v/>
      </c>
      <c r="M288" s="9">
        <f>IF(AND(K288&lt;&gt;"",L288&lt;&gt;""),ROUND(K288*L288,3),"")</f>
        <v/>
      </c>
      <c r="N288" s="9" t="n"/>
      <c r="O288" s="9" t="n"/>
      <c r="P288" s="9" t="n"/>
      <c r="Q288" s="9" t="n"/>
      <c r="R288" s="9" t="n"/>
    </row>
    <row r="289" ht="18" customHeight="1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>
        <f>IF(AND(D289&lt;&gt;"",H289&lt;&gt;""),ROUND(D289/H289,3),"")</f>
        <v/>
      </c>
      <c r="L289" s="10">
        <f>IF(AND(K289&lt;&gt;"",I289&lt;&gt;""),ROUND(K289/(I289/60),2),"")</f>
        <v/>
      </c>
      <c r="M289" s="10">
        <f>IF(AND(K289&lt;&gt;"",L289&lt;&gt;""),ROUND(K289*L289,3),"")</f>
        <v/>
      </c>
      <c r="N289" s="10" t="n"/>
      <c r="O289" s="10" t="n"/>
      <c r="P289" s="10" t="n"/>
      <c r="Q289" s="10" t="n"/>
      <c r="R289" s="10" t="n"/>
    </row>
    <row r="290" ht="18" customHeight="1">
      <c r="A290" s="9" t="n"/>
      <c r="B290" s="9" t="n"/>
      <c r="C290" s="9" t="n"/>
      <c r="D290" s="9" t="n"/>
      <c r="E290" s="9" t="n"/>
      <c r="F290" s="9" t="n"/>
      <c r="G290" s="9" t="n"/>
      <c r="H290" s="9" t="n"/>
      <c r="I290" s="9" t="n"/>
      <c r="J290" s="9" t="n"/>
      <c r="K290" s="9">
        <f>IF(AND(D290&lt;&gt;"",H290&lt;&gt;""),ROUND(D290/H290,3),"")</f>
        <v/>
      </c>
      <c r="L290" s="9">
        <f>IF(AND(K290&lt;&gt;"",I290&lt;&gt;""),ROUND(K290/(I290/60),2),"")</f>
        <v/>
      </c>
      <c r="M290" s="9">
        <f>IF(AND(K290&lt;&gt;"",L290&lt;&gt;""),ROUND(K290*L290,3),"")</f>
        <v/>
      </c>
      <c r="N290" s="9" t="n"/>
      <c r="O290" s="9" t="n"/>
      <c r="P290" s="9" t="n"/>
      <c r="Q290" s="9" t="n"/>
      <c r="R290" s="9" t="n"/>
    </row>
    <row r="291" ht="18" customHeight="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>
        <f>IF(AND(D291&lt;&gt;"",H291&lt;&gt;""),ROUND(D291/H291,3),"")</f>
        <v/>
      </c>
      <c r="L291" s="10">
        <f>IF(AND(K291&lt;&gt;"",I291&lt;&gt;""),ROUND(K291/(I291/60),2),"")</f>
        <v/>
      </c>
      <c r="M291" s="10">
        <f>IF(AND(K291&lt;&gt;"",L291&lt;&gt;""),ROUND(K291*L291,3),"")</f>
        <v/>
      </c>
      <c r="N291" s="10" t="n"/>
      <c r="O291" s="10" t="n"/>
      <c r="P291" s="10" t="n"/>
      <c r="Q291" s="10" t="n"/>
      <c r="R291" s="10" t="n"/>
    </row>
    <row r="292" ht="18" customHeight="1">
      <c r="A292" s="9" t="n"/>
      <c r="B292" s="9" t="n"/>
      <c r="C292" s="9" t="n"/>
      <c r="D292" s="9" t="n"/>
      <c r="E292" s="9" t="n"/>
      <c r="F292" s="9" t="n"/>
      <c r="G292" s="9" t="n"/>
      <c r="H292" s="9" t="n"/>
      <c r="I292" s="9" t="n"/>
      <c r="J292" s="9" t="n"/>
      <c r="K292" s="9">
        <f>IF(AND(D292&lt;&gt;"",H292&lt;&gt;""),ROUND(D292/H292,3),"")</f>
        <v/>
      </c>
      <c r="L292" s="9">
        <f>IF(AND(K292&lt;&gt;"",I292&lt;&gt;""),ROUND(K292/(I292/60),2),"")</f>
        <v/>
      </c>
      <c r="M292" s="9">
        <f>IF(AND(K292&lt;&gt;"",L292&lt;&gt;""),ROUND(K292*L292,3),"")</f>
        <v/>
      </c>
      <c r="N292" s="9" t="n"/>
      <c r="O292" s="9" t="n"/>
      <c r="P292" s="9" t="n"/>
      <c r="Q292" s="9" t="n"/>
      <c r="R292" s="9" t="n"/>
    </row>
    <row r="293" ht="18" customHeight="1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>
        <f>IF(AND(D293&lt;&gt;"",H293&lt;&gt;""),ROUND(D293/H293,3),"")</f>
        <v/>
      </c>
      <c r="L293" s="10">
        <f>IF(AND(K293&lt;&gt;"",I293&lt;&gt;""),ROUND(K293/(I293/60),2),"")</f>
        <v/>
      </c>
      <c r="M293" s="10">
        <f>IF(AND(K293&lt;&gt;"",L293&lt;&gt;""),ROUND(K293*L293,3),"")</f>
        <v/>
      </c>
      <c r="N293" s="10" t="n"/>
      <c r="O293" s="10" t="n"/>
      <c r="P293" s="10" t="n"/>
      <c r="Q293" s="10" t="n"/>
      <c r="R293" s="10" t="n"/>
    </row>
    <row r="294" ht="18" customHeight="1">
      <c r="A294" s="9" t="n"/>
      <c r="B294" s="9" t="n"/>
      <c r="C294" s="9" t="n"/>
      <c r="D294" s="9" t="n"/>
      <c r="E294" s="9" t="n"/>
      <c r="F294" s="9" t="n"/>
      <c r="G294" s="9" t="n"/>
      <c r="H294" s="9" t="n"/>
      <c r="I294" s="9" t="n"/>
      <c r="J294" s="9" t="n"/>
      <c r="K294" s="9">
        <f>IF(AND(D294&lt;&gt;"",H294&lt;&gt;""),ROUND(D294/H294,3),"")</f>
        <v/>
      </c>
      <c r="L294" s="9">
        <f>IF(AND(K294&lt;&gt;"",I294&lt;&gt;""),ROUND(K294/(I294/60),2),"")</f>
        <v/>
      </c>
      <c r="M294" s="9">
        <f>IF(AND(K294&lt;&gt;"",L294&lt;&gt;""),ROUND(K294*L294,3),"")</f>
        <v/>
      </c>
      <c r="N294" s="9" t="n"/>
      <c r="O294" s="9" t="n"/>
      <c r="P294" s="9" t="n"/>
      <c r="Q294" s="9" t="n"/>
      <c r="R294" s="9" t="n"/>
    </row>
    <row r="295" ht="18" customHeight="1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>
        <f>IF(AND(D295&lt;&gt;"",H295&lt;&gt;""),ROUND(D295/H295,3),"")</f>
        <v/>
      </c>
      <c r="L295" s="10">
        <f>IF(AND(K295&lt;&gt;"",I295&lt;&gt;""),ROUND(K295/(I295/60),2),"")</f>
        <v/>
      </c>
      <c r="M295" s="10">
        <f>IF(AND(K295&lt;&gt;"",L295&lt;&gt;""),ROUND(K295*L295,3),"")</f>
        <v/>
      </c>
      <c r="N295" s="10" t="n"/>
      <c r="O295" s="10" t="n"/>
      <c r="P295" s="10" t="n"/>
      <c r="Q295" s="10" t="n"/>
      <c r="R295" s="10" t="n"/>
    </row>
    <row r="296" ht="18" customHeight="1">
      <c r="A296" s="9" t="n"/>
      <c r="B296" s="9" t="n"/>
      <c r="C296" s="9" t="n"/>
      <c r="D296" s="9" t="n"/>
      <c r="E296" s="9" t="n"/>
      <c r="F296" s="9" t="n"/>
      <c r="G296" s="9" t="n"/>
      <c r="H296" s="9" t="n"/>
      <c r="I296" s="9" t="n"/>
      <c r="J296" s="9" t="n"/>
      <c r="K296" s="9">
        <f>IF(AND(D296&lt;&gt;"",H296&lt;&gt;""),ROUND(D296/H296,3),"")</f>
        <v/>
      </c>
      <c r="L296" s="9">
        <f>IF(AND(K296&lt;&gt;"",I296&lt;&gt;""),ROUND(K296/(I296/60),2),"")</f>
        <v/>
      </c>
      <c r="M296" s="9">
        <f>IF(AND(K296&lt;&gt;"",L296&lt;&gt;""),ROUND(K296*L296,3),"")</f>
        <v/>
      </c>
      <c r="N296" s="9" t="n"/>
      <c r="O296" s="9" t="n"/>
      <c r="P296" s="9" t="n"/>
      <c r="Q296" s="9" t="n"/>
      <c r="R296" s="9" t="n"/>
    </row>
    <row r="297" ht="18" customHeight="1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>
        <f>IF(AND(D297&lt;&gt;"",H297&lt;&gt;""),ROUND(D297/H297,3),"")</f>
        <v/>
      </c>
      <c r="L297" s="10">
        <f>IF(AND(K297&lt;&gt;"",I297&lt;&gt;""),ROUND(K297/(I297/60),2),"")</f>
        <v/>
      </c>
      <c r="M297" s="10">
        <f>IF(AND(K297&lt;&gt;"",L297&lt;&gt;""),ROUND(K297*L297,3),"")</f>
        <v/>
      </c>
      <c r="N297" s="10" t="n"/>
      <c r="O297" s="10" t="n"/>
      <c r="P297" s="10" t="n"/>
      <c r="Q297" s="10" t="n"/>
      <c r="R297" s="10" t="n"/>
    </row>
    <row r="298" ht="18" customHeight="1">
      <c r="A298" s="9" t="n"/>
      <c r="B298" s="9" t="n"/>
      <c r="C298" s="9" t="n"/>
      <c r="D298" s="9" t="n"/>
      <c r="E298" s="9" t="n"/>
      <c r="F298" s="9" t="n"/>
      <c r="G298" s="9" t="n"/>
      <c r="H298" s="9" t="n"/>
      <c r="I298" s="9" t="n"/>
      <c r="J298" s="9" t="n"/>
      <c r="K298" s="9">
        <f>IF(AND(D298&lt;&gt;"",H298&lt;&gt;""),ROUND(D298/H298,3),"")</f>
        <v/>
      </c>
      <c r="L298" s="9">
        <f>IF(AND(K298&lt;&gt;"",I298&lt;&gt;""),ROUND(K298/(I298/60),2),"")</f>
        <v/>
      </c>
      <c r="M298" s="9">
        <f>IF(AND(K298&lt;&gt;"",L298&lt;&gt;""),ROUND(K298*L298,3),"")</f>
        <v/>
      </c>
      <c r="N298" s="9" t="n"/>
      <c r="O298" s="9" t="n"/>
      <c r="P298" s="9" t="n"/>
      <c r="Q298" s="9" t="n"/>
      <c r="R298" s="9" t="n"/>
    </row>
    <row r="299" ht="18" customHeight="1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>
        <f>IF(AND(D299&lt;&gt;"",H299&lt;&gt;""),ROUND(D299/H299,3),"")</f>
        <v/>
      </c>
      <c r="L299" s="10">
        <f>IF(AND(K299&lt;&gt;"",I299&lt;&gt;""),ROUND(K299/(I299/60),2),"")</f>
        <v/>
      </c>
      <c r="M299" s="10">
        <f>IF(AND(K299&lt;&gt;"",L299&lt;&gt;""),ROUND(K299*L299,3),"")</f>
        <v/>
      </c>
      <c r="N299" s="10" t="n"/>
      <c r="O299" s="10" t="n"/>
      <c r="P299" s="10" t="n"/>
      <c r="Q299" s="10" t="n"/>
      <c r="R299" s="10" t="n"/>
    </row>
    <row r="300" ht="18" customHeight="1">
      <c r="A300" s="9" t="n"/>
      <c r="B300" s="9" t="n"/>
      <c r="C300" s="9" t="n"/>
      <c r="D300" s="9" t="n"/>
      <c r="E300" s="9" t="n"/>
      <c r="F300" s="9" t="n"/>
      <c r="G300" s="9" t="n"/>
      <c r="H300" s="9" t="n"/>
      <c r="I300" s="9" t="n"/>
      <c r="J300" s="9" t="n"/>
      <c r="K300" s="9">
        <f>IF(AND(D300&lt;&gt;"",H300&lt;&gt;""),ROUND(D300/H300,3),"")</f>
        <v/>
      </c>
      <c r="L300" s="9">
        <f>IF(AND(K300&lt;&gt;"",I300&lt;&gt;""),ROUND(K300/(I300/60),2),"")</f>
        <v/>
      </c>
      <c r="M300" s="9">
        <f>IF(AND(K300&lt;&gt;"",L300&lt;&gt;""),ROUND(K300*L300,3),"")</f>
        <v/>
      </c>
      <c r="N300" s="9" t="n"/>
      <c r="O300" s="9" t="n"/>
      <c r="P300" s="9" t="n"/>
      <c r="Q300" s="9" t="n"/>
      <c r="R300" s="9" t="n"/>
    </row>
    <row r="301" ht="18" customHeight="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>
        <f>IF(AND(D301&lt;&gt;"",H301&lt;&gt;""),ROUND(D301/H301,3),"")</f>
        <v/>
      </c>
      <c r="L301" s="10">
        <f>IF(AND(K301&lt;&gt;"",I301&lt;&gt;""),ROUND(K301/(I301/60),2),"")</f>
        <v/>
      </c>
      <c r="M301" s="10">
        <f>IF(AND(K301&lt;&gt;"",L301&lt;&gt;""),ROUND(K301*L301,3),"")</f>
        <v/>
      </c>
      <c r="N301" s="10" t="n"/>
      <c r="O301" s="10" t="n"/>
      <c r="P301" s="10" t="n"/>
      <c r="Q301" s="10" t="n"/>
      <c r="R301" s="10" t="n"/>
    </row>
    <row r="302" ht="18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>
        <f>IF(AND(D302&lt;&gt;"",H302&lt;&gt;""),ROUND(D302/H302,3),"")</f>
        <v/>
      </c>
      <c r="L302" s="9">
        <f>IF(AND(K302&lt;&gt;"",I302&lt;&gt;""),ROUND(K302/(I302/60),2),"")</f>
        <v/>
      </c>
      <c r="M302" s="9">
        <f>IF(AND(K302&lt;&gt;"",L302&lt;&gt;""),ROUND(K302*L302,3),"")</f>
        <v/>
      </c>
      <c r="N302" s="9" t="n"/>
      <c r="O302" s="9" t="n"/>
      <c r="P302" s="9" t="n"/>
      <c r="Q302" s="9" t="n"/>
      <c r="R302" s="9" t="n"/>
    </row>
    <row r="303" ht="18" customHeight="1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>
        <f>IF(AND(D303&lt;&gt;"",H303&lt;&gt;""),ROUND(D303/H303,3),"")</f>
        <v/>
      </c>
      <c r="L303" s="10">
        <f>IF(AND(K303&lt;&gt;"",I303&lt;&gt;""),ROUND(K303/(I303/60),2),"")</f>
        <v/>
      </c>
      <c r="M303" s="10">
        <f>IF(AND(K303&lt;&gt;"",L303&lt;&gt;""),ROUND(K303*L303,3),"")</f>
        <v/>
      </c>
      <c r="N303" s="10" t="n"/>
      <c r="O303" s="10" t="n"/>
      <c r="P303" s="10" t="n"/>
      <c r="Q303" s="10" t="n"/>
      <c r="R303" s="10" t="n"/>
    </row>
    <row r="304" ht="18" customHeight="1">
      <c r="A304" s="9" t="n"/>
      <c r="B304" s="9" t="n"/>
      <c r="C304" s="9" t="n"/>
      <c r="D304" s="9" t="n"/>
      <c r="E304" s="9" t="n"/>
      <c r="F304" s="9" t="n"/>
      <c r="G304" s="9" t="n"/>
      <c r="H304" s="9" t="n"/>
      <c r="I304" s="9" t="n"/>
      <c r="J304" s="9" t="n"/>
      <c r="K304" s="9">
        <f>IF(AND(D304&lt;&gt;"",H304&lt;&gt;""),ROUND(D304/H304,3),"")</f>
        <v/>
      </c>
      <c r="L304" s="9">
        <f>IF(AND(K304&lt;&gt;"",I304&lt;&gt;""),ROUND(K304/(I304/60),2),"")</f>
        <v/>
      </c>
      <c r="M304" s="9">
        <f>IF(AND(K304&lt;&gt;"",L304&lt;&gt;""),ROUND(K304*L304,3),"")</f>
        <v/>
      </c>
      <c r="N304" s="9" t="n"/>
      <c r="O304" s="9" t="n"/>
      <c r="P304" s="9" t="n"/>
      <c r="Q304" s="9" t="n"/>
      <c r="R304" s="9" t="n"/>
    </row>
    <row r="305" ht="18" customHeight="1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>
        <f>IF(AND(D305&lt;&gt;"",H305&lt;&gt;""),ROUND(D305/H305,3),"")</f>
        <v/>
      </c>
      <c r="L305" s="10">
        <f>IF(AND(K305&lt;&gt;"",I305&lt;&gt;""),ROUND(K305/(I305/60),2),"")</f>
        <v/>
      </c>
      <c r="M305" s="10">
        <f>IF(AND(K305&lt;&gt;"",L305&lt;&gt;""),ROUND(K305*L305,3),"")</f>
        <v/>
      </c>
      <c r="N305" s="10" t="n"/>
      <c r="O305" s="10" t="n"/>
      <c r="P305" s="10" t="n"/>
      <c r="Q305" s="10" t="n"/>
      <c r="R305" s="10" t="n"/>
    </row>
    <row r="306" ht="18" customHeight="1">
      <c r="A306" s="9" t="n"/>
      <c r="B306" s="9" t="n"/>
      <c r="C306" s="9" t="n"/>
      <c r="D306" s="9" t="n"/>
      <c r="E306" s="9" t="n"/>
      <c r="F306" s="9" t="n"/>
      <c r="G306" s="9" t="n"/>
      <c r="H306" s="9" t="n"/>
      <c r="I306" s="9" t="n"/>
      <c r="J306" s="9" t="n"/>
      <c r="K306" s="9">
        <f>IF(AND(D306&lt;&gt;"",H306&lt;&gt;""),ROUND(D306/H306,3),"")</f>
        <v/>
      </c>
      <c r="L306" s="9">
        <f>IF(AND(K306&lt;&gt;"",I306&lt;&gt;""),ROUND(K306/(I306/60),2),"")</f>
        <v/>
      </c>
      <c r="M306" s="9">
        <f>IF(AND(K306&lt;&gt;"",L306&lt;&gt;""),ROUND(K306*L306,3),"")</f>
        <v/>
      </c>
      <c r="N306" s="9" t="n"/>
      <c r="O306" s="9" t="n"/>
      <c r="P306" s="9" t="n"/>
      <c r="Q306" s="9" t="n"/>
      <c r="R306" s="9" t="n"/>
    </row>
    <row r="307" ht="18" customHeight="1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>
        <f>IF(AND(D307&lt;&gt;"",H307&lt;&gt;""),ROUND(D307/H307,3),"")</f>
        <v/>
      </c>
      <c r="L307" s="10">
        <f>IF(AND(K307&lt;&gt;"",I307&lt;&gt;""),ROUND(K307/(I307/60),2),"")</f>
        <v/>
      </c>
      <c r="M307" s="10">
        <f>IF(AND(K307&lt;&gt;"",L307&lt;&gt;""),ROUND(K307*L307,3),"")</f>
        <v/>
      </c>
      <c r="N307" s="10" t="n"/>
      <c r="O307" s="10" t="n"/>
      <c r="P307" s="10" t="n"/>
      <c r="Q307" s="10" t="n"/>
      <c r="R307" s="10" t="n"/>
    </row>
    <row r="308" ht="18" customHeight="1">
      <c r="A308" s="9" t="n"/>
      <c r="B308" s="9" t="n"/>
      <c r="C308" s="9" t="n"/>
      <c r="D308" s="9" t="n"/>
      <c r="E308" s="9" t="n"/>
      <c r="F308" s="9" t="n"/>
      <c r="G308" s="9" t="n"/>
      <c r="H308" s="9" t="n"/>
      <c r="I308" s="9" t="n"/>
      <c r="J308" s="9" t="n"/>
      <c r="K308" s="9">
        <f>IF(AND(D308&lt;&gt;"",H308&lt;&gt;""),ROUND(D308/H308,3),"")</f>
        <v/>
      </c>
      <c r="L308" s="9">
        <f>IF(AND(K308&lt;&gt;"",I308&lt;&gt;""),ROUND(K308/(I308/60),2),"")</f>
        <v/>
      </c>
      <c r="M308" s="9">
        <f>IF(AND(K308&lt;&gt;"",L308&lt;&gt;""),ROUND(K308*L308,3),"")</f>
        <v/>
      </c>
      <c r="N308" s="9" t="n"/>
      <c r="O308" s="9" t="n"/>
      <c r="P308" s="9" t="n"/>
      <c r="Q308" s="9" t="n"/>
      <c r="R308" s="9" t="n"/>
    </row>
    <row r="309" ht="18" customHeight="1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>
        <f>IF(AND(D309&lt;&gt;"",H309&lt;&gt;""),ROUND(D309/H309,3),"")</f>
        <v/>
      </c>
      <c r="L309" s="10">
        <f>IF(AND(K309&lt;&gt;"",I309&lt;&gt;""),ROUND(K309/(I309/60),2),"")</f>
        <v/>
      </c>
      <c r="M309" s="10">
        <f>IF(AND(K309&lt;&gt;"",L309&lt;&gt;""),ROUND(K309*L309,3),"")</f>
        <v/>
      </c>
      <c r="N309" s="10" t="n"/>
      <c r="O309" s="10" t="n"/>
      <c r="P309" s="10" t="n"/>
      <c r="Q309" s="10" t="n"/>
      <c r="R309" s="10" t="n"/>
    </row>
    <row r="310" ht="18" customHeight="1">
      <c r="A310" s="9" t="n"/>
      <c r="B310" s="9" t="n"/>
      <c r="C310" s="9" t="n"/>
      <c r="D310" s="9" t="n"/>
      <c r="E310" s="9" t="n"/>
      <c r="F310" s="9" t="n"/>
      <c r="G310" s="9" t="n"/>
      <c r="H310" s="9" t="n"/>
      <c r="I310" s="9" t="n"/>
      <c r="J310" s="9" t="n"/>
      <c r="K310" s="9">
        <f>IF(AND(D310&lt;&gt;"",H310&lt;&gt;""),ROUND(D310/H310,3),"")</f>
        <v/>
      </c>
      <c r="L310" s="9">
        <f>IF(AND(K310&lt;&gt;"",I310&lt;&gt;""),ROUND(K310/(I310/60),2),"")</f>
        <v/>
      </c>
      <c r="M310" s="9">
        <f>IF(AND(K310&lt;&gt;"",L310&lt;&gt;""),ROUND(K310*L310,3),"")</f>
        <v/>
      </c>
      <c r="N310" s="9" t="n"/>
      <c r="O310" s="9" t="n"/>
      <c r="P310" s="9" t="n"/>
      <c r="Q310" s="9" t="n"/>
      <c r="R310" s="9" t="n"/>
    </row>
    <row r="311" ht="18" customHeight="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>
        <f>IF(AND(D311&lt;&gt;"",H311&lt;&gt;""),ROUND(D311/H311,3),"")</f>
        <v/>
      </c>
      <c r="L311" s="10">
        <f>IF(AND(K311&lt;&gt;"",I311&lt;&gt;""),ROUND(K311/(I311/60),2),"")</f>
        <v/>
      </c>
      <c r="M311" s="10">
        <f>IF(AND(K311&lt;&gt;"",L311&lt;&gt;""),ROUND(K311*L311,3),"")</f>
        <v/>
      </c>
      <c r="N311" s="10" t="n"/>
      <c r="O311" s="10" t="n"/>
      <c r="P311" s="10" t="n"/>
      <c r="Q311" s="10" t="n"/>
      <c r="R311" s="10" t="n"/>
    </row>
    <row r="312" ht="18" customHeight="1">
      <c r="A312" s="9" t="n"/>
      <c r="B312" s="9" t="n"/>
      <c r="C312" s="9" t="n"/>
      <c r="D312" s="9" t="n"/>
      <c r="E312" s="9" t="n"/>
      <c r="F312" s="9" t="n"/>
      <c r="G312" s="9" t="n"/>
      <c r="H312" s="9" t="n"/>
      <c r="I312" s="9" t="n"/>
      <c r="J312" s="9" t="n"/>
      <c r="K312" s="9">
        <f>IF(AND(D312&lt;&gt;"",H312&lt;&gt;""),ROUND(D312/H312,3),"")</f>
        <v/>
      </c>
      <c r="L312" s="9">
        <f>IF(AND(K312&lt;&gt;"",I312&lt;&gt;""),ROUND(K312/(I312/60),2),"")</f>
        <v/>
      </c>
      <c r="M312" s="9">
        <f>IF(AND(K312&lt;&gt;"",L312&lt;&gt;""),ROUND(K312*L312,3),"")</f>
        <v/>
      </c>
      <c r="N312" s="9" t="n"/>
      <c r="O312" s="9" t="n"/>
      <c r="P312" s="9" t="n"/>
      <c r="Q312" s="9" t="n"/>
      <c r="R312" s="9" t="n"/>
    </row>
    <row r="313" ht="18" customHeight="1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>
        <f>IF(AND(D313&lt;&gt;"",H313&lt;&gt;""),ROUND(D313/H313,3),"")</f>
        <v/>
      </c>
      <c r="L313" s="10">
        <f>IF(AND(K313&lt;&gt;"",I313&lt;&gt;""),ROUND(K313/(I313/60),2),"")</f>
        <v/>
      </c>
      <c r="M313" s="10">
        <f>IF(AND(K313&lt;&gt;"",L313&lt;&gt;""),ROUND(K313*L313,3),"")</f>
        <v/>
      </c>
      <c r="N313" s="10" t="n"/>
      <c r="O313" s="10" t="n"/>
      <c r="P313" s="10" t="n"/>
      <c r="Q313" s="10" t="n"/>
      <c r="R313" s="10" t="n"/>
    </row>
    <row r="314" ht="18" customHeight="1">
      <c r="A314" s="9" t="n"/>
      <c r="B314" s="9" t="n"/>
      <c r="C314" s="9" t="n"/>
      <c r="D314" s="9" t="n"/>
      <c r="E314" s="9" t="n"/>
      <c r="F314" s="9" t="n"/>
      <c r="G314" s="9" t="n"/>
      <c r="H314" s="9" t="n"/>
      <c r="I314" s="9" t="n"/>
      <c r="J314" s="9" t="n"/>
      <c r="K314" s="9">
        <f>IF(AND(D314&lt;&gt;"",H314&lt;&gt;""),ROUND(D314/H314,3),"")</f>
        <v/>
      </c>
      <c r="L314" s="9">
        <f>IF(AND(K314&lt;&gt;"",I314&lt;&gt;""),ROUND(K314/(I314/60),2),"")</f>
        <v/>
      </c>
      <c r="M314" s="9">
        <f>IF(AND(K314&lt;&gt;"",L314&lt;&gt;""),ROUND(K314*L314,3),"")</f>
        <v/>
      </c>
      <c r="N314" s="9" t="n"/>
      <c r="O314" s="9" t="n"/>
      <c r="P314" s="9" t="n"/>
      <c r="Q314" s="9" t="n"/>
      <c r="R314" s="9" t="n"/>
    </row>
    <row r="315" ht="18" customHeight="1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>
        <f>IF(AND(D315&lt;&gt;"",H315&lt;&gt;""),ROUND(D315/H315,3),"")</f>
        <v/>
      </c>
      <c r="L315" s="10">
        <f>IF(AND(K315&lt;&gt;"",I315&lt;&gt;""),ROUND(K315/(I315/60),2),"")</f>
        <v/>
      </c>
      <c r="M315" s="10">
        <f>IF(AND(K315&lt;&gt;"",L315&lt;&gt;""),ROUND(K315*L315,3),"")</f>
        <v/>
      </c>
      <c r="N315" s="10" t="n"/>
      <c r="O315" s="10" t="n"/>
      <c r="P315" s="10" t="n"/>
      <c r="Q315" s="10" t="n"/>
      <c r="R315" s="10" t="n"/>
    </row>
    <row r="316" ht="18" customHeight="1">
      <c r="A316" s="9" t="n"/>
      <c r="B316" s="9" t="n"/>
      <c r="C316" s="9" t="n"/>
      <c r="D316" s="9" t="n"/>
      <c r="E316" s="9" t="n"/>
      <c r="F316" s="9" t="n"/>
      <c r="G316" s="9" t="n"/>
      <c r="H316" s="9" t="n"/>
      <c r="I316" s="9" t="n"/>
      <c r="J316" s="9" t="n"/>
      <c r="K316" s="9">
        <f>IF(AND(D316&lt;&gt;"",H316&lt;&gt;""),ROUND(D316/H316,3),"")</f>
        <v/>
      </c>
      <c r="L316" s="9">
        <f>IF(AND(K316&lt;&gt;"",I316&lt;&gt;""),ROUND(K316/(I316/60),2),"")</f>
        <v/>
      </c>
      <c r="M316" s="9">
        <f>IF(AND(K316&lt;&gt;"",L316&lt;&gt;""),ROUND(K316*L316,3),"")</f>
        <v/>
      </c>
      <c r="N316" s="9" t="n"/>
      <c r="O316" s="9" t="n"/>
      <c r="P316" s="9" t="n"/>
      <c r="Q316" s="9" t="n"/>
      <c r="R316" s="9" t="n"/>
    </row>
    <row r="317" ht="18" customHeight="1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>
        <f>IF(AND(D317&lt;&gt;"",H317&lt;&gt;""),ROUND(D317/H317,3),"")</f>
        <v/>
      </c>
      <c r="L317" s="10">
        <f>IF(AND(K317&lt;&gt;"",I317&lt;&gt;""),ROUND(K317/(I317/60),2),"")</f>
        <v/>
      </c>
      <c r="M317" s="10">
        <f>IF(AND(K317&lt;&gt;"",L317&lt;&gt;""),ROUND(K317*L317,3),"")</f>
        <v/>
      </c>
      <c r="N317" s="10" t="n"/>
      <c r="O317" s="10" t="n"/>
      <c r="P317" s="10" t="n"/>
      <c r="Q317" s="10" t="n"/>
      <c r="R317" s="10" t="n"/>
    </row>
    <row r="318" ht="18" customHeight="1">
      <c r="A318" s="9" t="n"/>
      <c r="B318" s="9" t="n"/>
      <c r="C318" s="9" t="n"/>
      <c r="D318" s="9" t="n"/>
      <c r="E318" s="9" t="n"/>
      <c r="F318" s="9" t="n"/>
      <c r="G318" s="9" t="n"/>
      <c r="H318" s="9" t="n"/>
      <c r="I318" s="9" t="n"/>
      <c r="J318" s="9" t="n"/>
      <c r="K318" s="9">
        <f>IF(AND(D318&lt;&gt;"",H318&lt;&gt;""),ROUND(D318/H318,3),"")</f>
        <v/>
      </c>
      <c r="L318" s="9">
        <f>IF(AND(K318&lt;&gt;"",I318&lt;&gt;""),ROUND(K318/(I318/60),2),"")</f>
        <v/>
      </c>
      <c r="M318" s="9">
        <f>IF(AND(K318&lt;&gt;"",L318&lt;&gt;""),ROUND(K318*L318,3),"")</f>
        <v/>
      </c>
      <c r="N318" s="9" t="n"/>
      <c r="O318" s="9" t="n"/>
      <c r="P318" s="9" t="n"/>
      <c r="Q318" s="9" t="n"/>
      <c r="R318" s="9" t="n"/>
    </row>
    <row r="319" ht="18" customHeight="1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>
        <f>IF(AND(D319&lt;&gt;"",H319&lt;&gt;""),ROUND(D319/H319,3),"")</f>
        <v/>
      </c>
      <c r="L319" s="10">
        <f>IF(AND(K319&lt;&gt;"",I319&lt;&gt;""),ROUND(K319/(I319/60),2),"")</f>
        <v/>
      </c>
      <c r="M319" s="10">
        <f>IF(AND(K319&lt;&gt;"",L319&lt;&gt;""),ROUND(K319*L319,3),"")</f>
        <v/>
      </c>
      <c r="N319" s="10" t="n"/>
      <c r="O319" s="10" t="n"/>
      <c r="P319" s="10" t="n"/>
      <c r="Q319" s="10" t="n"/>
      <c r="R319" s="10" t="n"/>
    </row>
    <row r="320" ht="18" customHeight="1">
      <c r="A320" s="9" t="n"/>
      <c r="B320" s="9" t="n"/>
      <c r="C320" s="9" t="n"/>
      <c r="D320" s="9" t="n"/>
      <c r="E320" s="9" t="n"/>
      <c r="F320" s="9" t="n"/>
      <c r="G320" s="9" t="n"/>
      <c r="H320" s="9" t="n"/>
      <c r="I320" s="9" t="n"/>
      <c r="J320" s="9" t="n"/>
      <c r="K320" s="9">
        <f>IF(AND(D320&lt;&gt;"",H320&lt;&gt;""),ROUND(D320/H320,3),"")</f>
        <v/>
      </c>
      <c r="L320" s="9">
        <f>IF(AND(K320&lt;&gt;"",I320&lt;&gt;""),ROUND(K320/(I320/60),2),"")</f>
        <v/>
      </c>
      <c r="M320" s="9">
        <f>IF(AND(K320&lt;&gt;"",L320&lt;&gt;""),ROUND(K320*L320,3),"")</f>
        <v/>
      </c>
      <c r="N320" s="9" t="n"/>
      <c r="O320" s="9" t="n"/>
      <c r="P320" s="9" t="n"/>
      <c r="Q320" s="9" t="n"/>
      <c r="R320" s="9" t="n"/>
    </row>
    <row r="321" ht="18" customHeight="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>
        <f>IF(AND(D321&lt;&gt;"",H321&lt;&gt;""),ROUND(D321/H321,3),"")</f>
        <v/>
      </c>
      <c r="L321" s="10">
        <f>IF(AND(K321&lt;&gt;"",I321&lt;&gt;""),ROUND(K321/(I321/60),2),"")</f>
        <v/>
      </c>
      <c r="M321" s="10">
        <f>IF(AND(K321&lt;&gt;"",L321&lt;&gt;""),ROUND(K321*L321,3),"")</f>
        <v/>
      </c>
      <c r="N321" s="10" t="n"/>
      <c r="O321" s="10" t="n"/>
      <c r="P321" s="10" t="n"/>
      <c r="Q321" s="10" t="n"/>
      <c r="R321" s="10" t="n"/>
    </row>
    <row r="322" ht="18" customHeight="1">
      <c r="A322" s="9" t="n"/>
      <c r="B322" s="9" t="n"/>
      <c r="C322" s="9" t="n"/>
      <c r="D322" s="9" t="n"/>
      <c r="E322" s="9" t="n"/>
      <c r="F322" s="9" t="n"/>
      <c r="G322" s="9" t="n"/>
      <c r="H322" s="9" t="n"/>
      <c r="I322" s="9" t="n"/>
      <c r="J322" s="9" t="n"/>
      <c r="K322" s="9">
        <f>IF(AND(D322&lt;&gt;"",H322&lt;&gt;""),ROUND(D322/H322,3),"")</f>
        <v/>
      </c>
      <c r="L322" s="9">
        <f>IF(AND(K322&lt;&gt;"",I322&lt;&gt;""),ROUND(K322/(I322/60),2),"")</f>
        <v/>
      </c>
      <c r="M322" s="9">
        <f>IF(AND(K322&lt;&gt;"",L322&lt;&gt;""),ROUND(K322*L322,3),"")</f>
        <v/>
      </c>
      <c r="N322" s="9" t="n"/>
      <c r="O322" s="9" t="n"/>
      <c r="P322" s="9" t="n"/>
      <c r="Q322" s="9" t="n"/>
      <c r="R322" s="9" t="n"/>
    </row>
    <row r="323" ht="18" customHeight="1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>
        <f>IF(AND(D323&lt;&gt;"",H323&lt;&gt;""),ROUND(D323/H323,3),"")</f>
        <v/>
      </c>
      <c r="L323" s="10">
        <f>IF(AND(K323&lt;&gt;"",I323&lt;&gt;""),ROUND(K323/(I323/60),2),"")</f>
        <v/>
      </c>
      <c r="M323" s="10">
        <f>IF(AND(K323&lt;&gt;"",L323&lt;&gt;""),ROUND(K323*L323,3),"")</f>
        <v/>
      </c>
      <c r="N323" s="10" t="n"/>
      <c r="O323" s="10" t="n"/>
      <c r="P323" s="10" t="n"/>
      <c r="Q323" s="10" t="n"/>
      <c r="R323" s="10" t="n"/>
    </row>
    <row r="324" ht="18" customHeight="1">
      <c r="A324" s="9" t="n"/>
      <c r="B324" s="9" t="n"/>
      <c r="C324" s="9" t="n"/>
      <c r="D324" s="9" t="n"/>
      <c r="E324" s="9" t="n"/>
      <c r="F324" s="9" t="n"/>
      <c r="G324" s="9" t="n"/>
      <c r="H324" s="9" t="n"/>
      <c r="I324" s="9" t="n"/>
      <c r="J324" s="9" t="n"/>
      <c r="K324" s="9">
        <f>IF(AND(D324&lt;&gt;"",H324&lt;&gt;""),ROUND(D324/H324,3),"")</f>
        <v/>
      </c>
      <c r="L324" s="9">
        <f>IF(AND(K324&lt;&gt;"",I324&lt;&gt;""),ROUND(K324/(I324/60),2),"")</f>
        <v/>
      </c>
      <c r="M324" s="9">
        <f>IF(AND(K324&lt;&gt;"",L324&lt;&gt;""),ROUND(K324*L324,3),"")</f>
        <v/>
      </c>
      <c r="N324" s="9" t="n"/>
      <c r="O324" s="9" t="n"/>
      <c r="P324" s="9" t="n"/>
      <c r="Q324" s="9" t="n"/>
      <c r="R324" s="9" t="n"/>
    </row>
    <row r="325" ht="18" customHeight="1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>
        <f>IF(AND(D325&lt;&gt;"",H325&lt;&gt;""),ROUND(D325/H325,3),"")</f>
        <v/>
      </c>
      <c r="L325" s="10">
        <f>IF(AND(K325&lt;&gt;"",I325&lt;&gt;""),ROUND(K325/(I325/60),2),"")</f>
        <v/>
      </c>
      <c r="M325" s="10">
        <f>IF(AND(K325&lt;&gt;"",L325&lt;&gt;""),ROUND(K325*L325,3),"")</f>
        <v/>
      </c>
      <c r="N325" s="10" t="n"/>
      <c r="O325" s="10" t="n"/>
      <c r="P325" s="10" t="n"/>
      <c r="Q325" s="10" t="n"/>
      <c r="R325" s="10" t="n"/>
    </row>
    <row r="326" ht="18" customHeight="1">
      <c r="A326" s="9" t="n"/>
      <c r="B326" s="9" t="n"/>
      <c r="C326" s="9" t="n"/>
      <c r="D326" s="9" t="n"/>
      <c r="E326" s="9" t="n"/>
      <c r="F326" s="9" t="n"/>
      <c r="G326" s="9" t="n"/>
      <c r="H326" s="9" t="n"/>
      <c r="I326" s="9" t="n"/>
      <c r="J326" s="9" t="n"/>
      <c r="K326" s="9">
        <f>IF(AND(D326&lt;&gt;"",H326&lt;&gt;""),ROUND(D326/H326,3),"")</f>
        <v/>
      </c>
      <c r="L326" s="9">
        <f>IF(AND(K326&lt;&gt;"",I326&lt;&gt;""),ROUND(K326/(I326/60),2),"")</f>
        <v/>
      </c>
      <c r="M326" s="9">
        <f>IF(AND(K326&lt;&gt;"",L326&lt;&gt;""),ROUND(K326*L326,3),"")</f>
        <v/>
      </c>
      <c r="N326" s="9" t="n"/>
      <c r="O326" s="9" t="n"/>
      <c r="P326" s="9" t="n"/>
      <c r="Q326" s="9" t="n"/>
      <c r="R326" s="9" t="n"/>
    </row>
    <row r="327" ht="18" customHeight="1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>
        <f>IF(AND(D327&lt;&gt;"",H327&lt;&gt;""),ROUND(D327/H327,3),"")</f>
        <v/>
      </c>
      <c r="L327" s="10">
        <f>IF(AND(K327&lt;&gt;"",I327&lt;&gt;""),ROUND(K327/(I327/60),2),"")</f>
        <v/>
      </c>
      <c r="M327" s="10">
        <f>IF(AND(K327&lt;&gt;"",L327&lt;&gt;""),ROUND(K327*L327,3),"")</f>
        <v/>
      </c>
      <c r="N327" s="10" t="n"/>
      <c r="O327" s="10" t="n"/>
      <c r="P327" s="10" t="n"/>
      <c r="Q327" s="10" t="n"/>
      <c r="R327" s="10" t="n"/>
    </row>
    <row r="328" ht="18" customHeight="1">
      <c r="A328" s="9" t="n"/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>
        <f>IF(AND(D328&lt;&gt;"",H328&lt;&gt;""),ROUND(D328/H328,3),"")</f>
        <v/>
      </c>
      <c r="L328" s="9">
        <f>IF(AND(K328&lt;&gt;"",I328&lt;&gt;""),ROUND(K328/(I328/60),2),"")</f>
        <v/>
      </c>
      <c r="M328" s="9">
        <f>IF(AND(K328&lt;&gt;"",L328&lt;&gt;""),ROUND(K328*L328,3),"")</f>
        <v/>
      </c>
      <c r="N328" s="9" t="n"/>
      <c r="O328" s="9" t="n"/>
      <c r="P328" s="9" t="n"/>
      <c r="Q328" s="9" t="n"/>
      <c r="R328" s="9" t="n"/>
    </row>
    <row r="329" ht="18" customHeight="1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>
        <f>IF(AND(D329&lt;&gt;"",H329&lt;&gt;""),ROUND(D329/H329,3),"")</f>
        <v/>
      </c>
      <c r="L329" s="10">
        <f>IF(AND(K329&lt;&gt;"",I329&lt;&gt;""),ROUND(K329/(I329/60),2),"")</f>
        <v/>
      </c>
      <c r="M329" s="10">
        <f>IF(AND(K329&lt;&gt;"",L329&lt;&gt;""),ROUND(K329*L329,3),"")</f>
        <v/>
      </c>
      <c r="N329" s="10" t="n"/>
      <c r="O329" s="10" t="n"/>
      <c r="P329" s="10" t="n"/>
      <c r="Q329" s="10" t="n"/>
      <c r="R329" s="10" t="n"/>
    </row>
    <row r="330" ht="18" customHeight="1">
      <c r="A330" s="9" t="n"/>
      <c r="B330" s="9" t="n"/>
      <c r="C330" s="9" t="n"/>
      <c r="D330" s="9" t="n"/>
      <c r="E330" s="9" t="n"/>
      <c r="F330" s="9" t="n"/>
      <c r="G330" s="9" t="n"/>
      <c r="H330" s="9" t="n"/>
      <c r="I330" s="9" t="n"/>
      <c r="J330" s="9" t="n"/>
      <c r="K330" s="9">
        <f>IF(AND(D330&lt;&gt;"",H330&lt;&gt;""),ROUND(D330/H330,3),"")</f>
        <v/>
      </c>
      <c r="L330" s="9">
        <f>IF(AND(K330&lt;&gt;"",I330&lt;&gt;""),ROUND(K330/(I330/60),2),"")</f>
        <v/>
      </c>
      <c r="M330" s="9">
        <f>IF(AND(K330&lt;&gt;"",L330&lt;&gt;""),ROUND(K330*L330,3),"")</f>
        <v/>
      </c>
      <c r="N330" s="9" t="n"/>
      <c r="O330" s="9" t="n"/>
      <c r="P330" s="9" t="n"/>
      <c r="Q330" s="9" t="n"/>
      <c r="R330" s="9" t="n"/>
    </row>
    <row r="331" ht="18" customHeight="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>
        <f>IF(AND(D331&lt;&gt;"",H331&lt;&gt;""),ROUND(D331/H331,3),"")</f>
        <v/>
      </c>
      <c r="L331" s="10">
        <f>IF(AND(K331&lt;&gt;"",I331&lt;&gt;""),ROUND(K331/(I331/60),2),"")</f>
        <v/>
      </c>
      <c r="M331" s="10">
        <f>IF(AND(K331&lt;&gt;"",L331&lt;&gt;""),ROUND(K331*L331,3),"")</f>
        <v/>
      </c>
      <c r="N331" s="10" t="n"/>
      <c r="O331" s="10" t="n"/>
      <c r="P331" s="10" t="n"/>
      <c r="Q331" s="10" t="n"/>
      <c r="R331" s="10" t="n"/>
    </row>
    <row r="332" ht="18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>
        <f>IF(AND(D332&lt;&gt;"",H332&lt;&gt;""),ROUND(D332/H332,3),"")</f>
        <v/>
      </c>
      <c r="L332" s="9">
        <f>IF(AND(K332&lt;&gt;"",I332&lt;&gt;""),ROUND(K332/(I332/60),2),"")</f>
        <v/>
      </c>
      <c r="M332" s="9">
        <f>IF(AND(K332&lt;&gt;"",L332&lt;&gt;""),ROUND(K332*L332,3),"")</f>
        <v/>
      </c>
      <c r="N332" s="9" t="n"/>
      <c r="O332" s="9" t="n"/>
      <c r="P332" s="9" t="n"/>
      <c r="Q332" s="9" t="n"/>
      <c r="R332" s="9" t="n"/>
    </row>
    <row r="333" ht="18" customHeight="1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>
        <f>IF(AND(D333&lt;&gt;"",H333&lt;&gt;""),ROUND(D333/H333,3),"")</f>
        <v/>
      </c>
      <c r="L333" s="10">
        <f>IF(AND(K333&lt;&gt;"",I333&lt;&gt;""),ROUND(K333/(I333/60),2),"")</f>
        <v/>
      </c>
      <c r="M333" s="10">
        <f>IF(AND(K333&lt;&gt;"",L333&lt;&gt;""),ROUND(K333*L333,3),"")</f>
        <v/>
      </c>
      <c r="N333" s="10" t="n"/>
      <c r="O333" s="10" t="n"/>
      <c r="P333" s="10" t="n"/>
      <c r="Q333" s="10" t="n"/>
      <c r="R333" s="10" t="n"/>
    </row>
    <row r="334" ht="18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>
        <f>IF(AND(D334&lt;&gt;"",H334&lt;&gt;""),ROUND(D334/H334,3),"")</f>
        <v/>
      </c>
      <c r="L334" s="9">
        <f>IF(AND(K334&lt;&gt;"",I334&lt;&gt;""),ROUND(K334/(I334/60),2),"")</f>
        <v/>
      </c>
      <c r="M334" s="9">
        <f>IF(AND(K334&lt;&gt;"",L334&lt;&gt;""),ROUND(K334*L334,3),"")</f>
        <v/>
      </c>
      <c r="N334" s="9" t="n"/>
      <c r="O334" s="9" t="n"/>
      <c r="P334" s="9" t="n"/>
      <c r="Q334" s="9" t="n"/>
      <c r="R334" s="9" t="n"/>
    </row>
    <row r="335" ht="18" customHeight="1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>
        <f>IF(AND(D335&lt;&gt;"",H335&lt;&gt;""),ROUND(D335/H335,3),"")</f>
        <v/>
      </c>
      <c r="L335" s="10">
        <f>IF(AND(K335&lt;&gt;"",I335&lt;&gt;""),ROUND(K335/(I335/60),2),"")</f>
        <v/>
      </c>
      <c r="M335" s="10">
        <f>IF(AND(K335&lt;&gt;"",L335&lt;&gt;""),ROUND(K335*L335,3),"")</f>
        <v/>
      </c>
      <c r="N335" s="10" t="n"/>
      <c r="O335" s="10" t="n"/>
      <c r="P335" s="10" t="n"/>
      <c r="Q335" s="10" t="n"/>
      <c r="R335" s="10" t="n"/>
    </row>
    <row r="336" ht="18" customHeight="1">
      <c r="A336" s="9" t="n"/>
      <c r="B336" s="9" t="n"/>
      <c r="C336" s="9" t="n"/>
      <c r="D336" s="9" t="n"/>
      <c r="E336" s="9" t="n"/>
      <c r="F336" s="9" t="n"/>
      <c r="G336" s="9" t="n"/>
      <c r="H336" s="9" t="n"/>
      <c r="I336" s="9" t="n"/>
      <c r="J336" s="9" t="n"/>
      <c r="K336" s="9">
        <f>IF(AND(D336&lt;&gt;"",H336&lt;&gt;""),ROUND(D336/H336,3),"")</f>
        <v/>
      </c>
      <c r="L336" s="9">
        <f>IF(AND(K336&lt;&gt;"",I336&lt;&gt;""),ROUND(K336/(I336/60),2),"")</f>
        <v/>
      </c>
      <c r="M336" s="9">
        <f>IF(AND(K336&lt;&gt;"",L336&lt;&gt;""),ROUND(K336*L336,3),"")</f>
        <v/>
      </c>
      <c r="N336" s="9" t="n"/>
      <c r="O336" s="9" t="n"/>
      <c r="P336" s="9" t="n"/>
      <c r="Q336" s="9" t="n"/>
      <c r="R336" s="9" t="n"/>
    </row>
    <row r="337" ht="18" customHeight="1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>
        <f>IF(AND(D337&lt;&gt;"",H337&lt;&gt;""),ROUND(D337/H337,3),"")</f>
        <v/>
      </c>
      <c r="L337" s="10">
        <f>IF(AND(K337&lt;&gt;"",I337&lt;&gt;""),ROUND(K337/(I337/60),2),"")</f>
        <v/>
      </c>
      <c r="M337" s="10">
        <f>IF(AND(K337&lt;&gt;"",L337&lt;&gt;""),ROUND(K337*L337,3),"")</f>
        <v/>
      </c>
      <c r="N337" s="10" t="n"/>
      <c r="O337" s="10" t="n"/>
      <c r="P337" s="10" t="n"/>
      <c r="Q337" s="10" t="n"/>
      <c r="R337" s="10" t="n"/>
    </row>
    <row r="338" ht="18" customHeight="1">
      <c r="A338" s="9" t="n"/>
      <c r="B338" s="9" t="n"/>
      <c r="C338" s="9" t="n"/>
      <c r="D338" s="9" t="n"/>
      <c r="E338" s="9" t="n"/>
      <c r="F338" s="9" t="n"/>
      <c r="G338" s="9" t="n"/>
      <c r="H338" s="9" t="n"/>
      <c r="I338" s="9" t="n"/>
      <c r="J338" s="9" t="n"/>
      <c r="K338" s="9">
        <f>IF(AND(D338&lt;&gt;"",H338&lt;&gt;""),ROUND(D338/H338,3),"")</f>
        <v/>
      </c>
      <c r="L338" s="9">
        <f>IF(AND(K338&lt;&gt;"",I338&lt;&gt;""),ROUND(K338/(I338/60),2),"")</f>
        <v/>
      </c>
      <c r="M338" s="9">
        <f>IF(AND(K338&lt;&gt;"",L338&lt;&gt;""),ROUND(K338*L338,3),"")</f>
        <v/>
      </c>
      <c r="N338" s="9" t="n"/>
      <c r="O338" s="9" t="n"/>
      <c r="P338" s="9" t="n"/>
      <c r="Q338" s="9" t="n"/>
      <c r="R338" s="9" t="n"/>
    </row>
    <row r="339" ht="18" customHeight="1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>
        <f>IF(AND(D339&lt;&gt;"",H339&lt;&gt;""),ROUND(D339/H339,3),"")</f>
        <v/>
      </c>
      <c r="L339" s="10">
        <f>IF(AND(K339&lt;&gt;"",I339&lt;&gt;""),ROUND(K339/(I339/60),2),"")</f>
        <v/>
      </c>
      <c r="M339" s="10">
        <f>IF(AND(K339&lt;&gt;"",L339&lt;&gt;""),ROUND(K339*L339,3),"")</f>
        <v/>
      </c>
      <c r="N339" s="10" t="n"/>
      <c r="O339" s="10" t="n"/>
      <c r="P339" s="10" t="n"/>
      <c r="Q339" s="10" t="n"/>
      <c r="R339" s="10" t="n"/>
    </row>
    <row r="340" ht="18" customHeight="1">
      <c r="A340" s="9" t="n"/>
      <c r="B340" s="9" t="n"/>
      <c r="C340" s="9" t="n"/>
      <c r="D340" s="9" t="n"/>
      <c r="E340" s="9" t="n"/>
      <c r="F340" s="9" t="n"/>
      <c r="G340" s="9" t="n"/>
      <c r="H340" s="9" t="n"/>
      <c r="I340" s="9" t="n"/>
      <c r="J340" s="9" t="n"/>
      <c r="K340" s="9">
        <f>IF(AND(D340&lt;&gt;"",H340&lt;&gt;""),ROUND(D340/H340,3),"")</f>
        <v/>
      </c>
      <c r="L340" s="9">
        <f>IF(AND(K340&lt;&gt;"",I340&lt;&gt;""),ROUND(K340/(I340/60),2),"")</f>
        <v/>
      </c>
      <c r="M340" s="9">
        <f>IF(AND(K340&lt;&gt;"",L340&lt;&gt;""),ROUND(K340*L340,3),"")</f>
        <v/>
      </c>
      <c r="N340" s="9" t="n"/>
      <c r="O340" s="9" t="n"/>
      <c r="P340" s="9" t="n"/>
      <c r="Q340" s="9" t="n"/>
      <c r="R340" s="9" t="n"/>
    </row>
    <row r="341" ht="18" customHeight="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>
        <f>IF(AND(D341&lt;&gt;"",H341&lt;&gt;""),ROUND(D341/H341,3),"")</f>
        <v/>
      </c>
      <c r="L341" s="10">
        <f>IF(AND(K341&lt;&gt;"",I341&lt;&gt;""),ROUND(K341/(I341/60),2),"")</f>
        <v/>
      </c>
      <c r="M341" s="10">
        <f>IF(AND(K341&lt;&gt;"",L341&lt;&gt;""),ROUND(K341*L341,3),"")</f>
        <v/>
      </c>
      <c r="N341" s="10" t="n"/>
      <c r="O341" s="10" t="n"/>
      <c r="P341" s="10" t="n"/>
      <c r="Q341" s="10" t="n"/>
      <c r="R341" s="10" t="n"/>
    </row>
    <row r="342" ht="18" customHeight="1">
      <c r="A342" s="9" t="n"/>
      <c r="B342" s="9" t="n"/>
      <c r="C342" s="9" t="n"/>
      <c r="D342" s="9" t="n"/>
      <c r="E342" s="9" t="n"/>
      <c r="F342" s="9" t="n"/>
      <c r="G342" s="9" t="n"/>
      <c r="H342" s="9" t="n"/>
      <c r="I342" s="9" t="n"/>
      <c r="J342" s="9" t="n"/>
      <c r="K342" s="9">
        <f>IF(AND(D342&lt;&gt;"",H342&lt;&gt;""),ROUND(D342/H342,3),"")</f>
        <v/>
      </c>
      <c r="L342" s="9">
        <f>IF(AND(K342&lt;&gt;"",I342&lt;&gt;""),ROUND(K342/(I342/60),2),"")</f>
        <v/>
      </c>
      <c r="M342" s="9">
        <f>IF(AND(K342&lt;&gt;"",L342&lt;&gt;""),ROUND(K342*L342,3),"")</f>
        <v/>
      </c>
      <c r="N342" s="9" t="n"/>
      <c r="O342" s="9" t="n"/>
      <c r="P342" s="9" t="n"/>
      <c r="Q342" s="9" t="n"/>
      <c r="R342" s="9" t="n"/>
    </row>
    <row r="343" ht="18" customHeight="1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>
        <f>IF(AND(D343&lt;&gt;"",H343&lt;&gt;""),ROUND(D343/H343,3),"")</f>
        <v/>
      </c>
      <c r="L343" s="10">
        <f>IF(AND(K343&lt;&gt;"",I343&lt;&gt;""),ROUND(K343/(I343/60),2),"")</f>
        <v/>
      </c>
      <c r="M343" s="10">
        <f>IF(AND(K343&lt;&gt;"",L343&lt;&gt;""),ROUND(K343*L343,3),"")</f>
        <v/>
      </c>
      <c r="N343" s="10" t="n"/>
      <c r="O343" s="10" t="n"/>
      <c r="P343" s="10" t="n"/>
      <c r="Q343" s="10" t="n"/>
      <c r="R343" s="10" t="n"/>
    </row>
    <row r="344" ht="18" customHeight="1">
      <c r="A344" s="9" t="n"/>
      <c r="B344" s="9" t="n"/>
      <c r="C344" s="9" t="n"/>
      <c r="D344" s="9" t="n"/>
      <c r="E344" s="9" t="n"/>
      <c r="F344" s="9" t="n"/>
      <c r="G344" s="9" t="n"/>
      <c r="H344" s="9" t="n"/>
      <c r="I344" s="9" t="n"/>
      <c r="J344" s="9" t="n"/>
      <c r="K344" s="9">
        <f>IF(AND(D344&lt;&gt;"",H344&lt;&gt;""),ROUND(D344/H344,3),"")</f>
        <v/>
      </c>
      <c r="L344" s="9">
        <f>IF(AND(K344&lt;&gt;"",I344&lt;&gt;""),ROUND(K344/(I344/60),2),"")</f>
        <v/>
      </c>
      <c r="M344" s="9">
        <f>IF(AND(K344&lt;&gt;"",L344&lt;&gt;""),ROUND(K344*L344,3),"")</f>
        <v/>
      </c>
      <c r="N344" s="9" t="n"/>
      <c r="O344" s="9" t="n"/>
      <c r="P344" s="9" t="n"/>
      <c r="Q344" s="9" t="n"/>
      <c r="R344" s="9" t="n"/>
    </row>
    <row r="345" ht="18" customHeight="1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>
        <f>IF(AND(D345&lt;&gt;"",H345&lt;&gt;""),ROUND(D345/H345,3),"")</f>
        <v/>
      </c>
      <c r="L345" s="10">
        <f>IF(AND(K345&lt;&gt;"",I345&lt;&gt;""),ROUND(K345/(I345/60),2),"")</f>
        <v/>
      </c>
      <c r="M345" s="10">
        <f>IF(AND(K345&lt;&gt;"",L345&lt;&gt;""),ROUND(K345*L345,3),"")</f>
        <v/>
      </c>
      <c r="N345" s="10" t="n"/>
      <c r="O345" s="10" t="n"/>
      <c r="P345" s="10" t="n"/>
      <c r="Q345" s="10" t="n"/>
      <c r="R345" s="10" t="n"/>
    </row>
    <row r="346" ht="18" customHeight="1">
      <c r="A346" s="9" t="n"/>
      <c r="B346" s="9" t="n"/>
      <c r="C346" s="9" t="n"/>
      <c r="D346" s="9" t="n"/>
      <c r="E346" s="9" t="n"/>
      <c r="F346" s="9" t="n"/>
      <c r="G346" s="9" t="n"/>
      <c r="H346" s="9" t="n"/>
      <c r="I346" s="9" t="n"/>
      <c r="J346" s="9" t="n"/>
      <c r="K346" s="9">
        <f>IF(AND(D346&lt;&gt;"",H346&lt;&gt;""),ROUND(D346/H346,3),"")</f>
        <v/>
      </c>
      <c r="L346" s="9">
        <f>IF(AND(K346&lt;&gt;"",I346&lt;&gt;""),ROUND(K346/(I346/60),2),"")</f>
        <v/>
      </c>
      <c r="M346" s="9">
        <f>IF(AND(K346&lt;&gt;"",L346&lt;&gt;""),ROUND(K346*L346,3),"")</f>
        <v/>
      </c>
      <c r="N346" s="9" t="n"/>
      <c r="O346" s="9" t="n"/>
      <c r="P346" s="9" t="n"/>
      <c r="Q346" s="9" t="n"/>
      <c r="R346" s="9" t="n"/>
    </row>
    <row r="347" ht="18" customHeight="1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>
        <f>IF(AND(D347&lt;&gt;"",H347&lt;&gt;""),ROUND(D347/H347,3),"")</f>
        <v/>
      </c>
      <c r="L347" s="10">
        <f>IF(AND(K347&lt;&gt;"",I347&lt;&gt;""),ROUND(K347/(I347/60),2),"")</f>
        <v/>
      </c>
      <c r="M347" s="10">
        <f>IF(AND(K347&lt;&gt;"",L347&lt;&gt;""),ROUND(K347*L347,3),"")</f>
        <v/>
      </c>
      <c r="N347" s="10" t="n"/>
      <c r="O347" s="10" t="n"/>
      <c r="P347" s="10" t="n"/>
      <c r="Q347" s="10" t="n"/>
      <c r="R347" s="10" t="n"/>
    </row>
    <row r="348" ht="18" customHeight="1">
      <c r="A348" s="9" t="n"/>
      <c r="B348" s="9" t="n"/>
      <c r="C348" s="9" t="n"/>
      <c r="D348" s="9" t="n"/>
      <c r="E348" s="9" t="n"/>
      <c r="F348" s="9" t="n"/>
      <c r="G348" s="9" t="n"/>
      <c r="H348" s="9" t="n"/>
      <c r="I348" s="9" t="n"/>
      <c r="J348" s="9" t="n"/>
      <c r="K348" s="9">
        <f>IF(AND(D348&lt;&gt;"",H348&lt;&gt;""),ROUND(D348/H348,3),"")</f>
        <v/>
      </c>
      <c r="L348" s="9">
        <f>IF(AND(K348&lt;&gt;"",I348&lt;&gt;""),ROUND(K348/(I348/60),2),"")</f>
        <v/>
      </c>
      <c r="M348" s="9">
        <f>IF(AND(K348&lt;&gt;"",L348&lt;&gt;""),ROUND(K348*L348,3),"")</f>
        <v/>
      </c>
      <c r="N348" s="9" t="n"/>
      <c r="O348" s="9" t="n"/>
      <c r="P348" s="9" t="n"/>
      <c r="Q348" s="9" t="n"/>
      <c r="R348" s="9" t="n"/>
    </row>
    <row r="349" ht="18" customHeight="1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>
        <f>IF(AND(D349&lt;&gt;"",H349&lt;&gt;""),ROUND(D349/H349,3),"")</f>
        <v/>
      </c>
      <c r="L349" s="10">
        <f>IF(AND(K349&lt;&gt;"",I349&lt;&gt;""),ROUND(K349/(I349/60),2),"")</f>
        <v/>
      </c>
      <c r="M349" s="10">
        <f>IF(AND(K349&lt;&gt;"",L349&lt;&gt;""),ROUND(K349*L349,3),"")</f>
        <v/>
      </c>
      <c r="N349" s="10" t="n"/>
      <c r="O349" s="10" t="n"/>
      <c r="P349" s="10" t="n"/>
      <c r="Q349" s="10" t="n"/>
      <c r="R349" s="10" t="n"/>
    </row>
    <row r="350" ht="18" customHeight="1">
      <c r="A350" s="9" t="n"/>
      <c r="B350" s="9" t="n"/>
      <c r="C350" s="9" t="n"/>
      <c r="D350" s="9" t="n"/>
      <c r="E350" s="9" t="n"/>
      <c r="F350" s="9" t="n"/>
      <c r="G350" s="9" t="n"/>
      <c r="H350" s="9" t="n"/>
      <c r="I350" s="9" t="n"/>
      <c r="J350" s="9" t="n"/>
      <c r="K350" s="9">
        <f>IF(AND(D350&lt;&gt;"",H350&lt;&gt;""),ROUND(D350/H350,3),"")</f>
        <v/>
      </c>
      <c r="L350" s="9">
        <f>IF(AND(K350&lt;&gt;"",I350&lt;&gt;""),ROUND(K350/(I350/60),2),"")</f>
        <v/>
      </c>
      <c r="M350" s="9">
        <f>IF(AND(K350&lt;&gt;"",L350&lt;&gt;""),ROUND(K350*L350,3),"")</f>
        <v/>
      </c>
      <c r="N350" s="9" t="n"/>
      <c r="O350" s="9" t="n"/>
      <c r="P350" s="9" t="n"/>
      <c r="Q350" s="9" t="n"/>
      <c r="R350" s="9" t="n"/>
    </row>
    <row r="351" ht="18" customHeight="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>
        <f>IF(AND(D351&lt;&gt;"",H351&lt;&gt;""),ROUND(D351/H351,3),"")</f>
        <v/>
      </c>
      <c r="L351" s="10">
        <f>IF(AND(K351&lt;&gt;"",I351&lt;&gt;""),ROUND(K351/(I351/60),2),"")</f>
        <v/>
      </c>
      <c r="M351" s="10">
        <f>IF(AND(K351&lt;&gt;"",L351&lt;&gt;""),ROUND(K351*L351,3),"")</f>
        <v/>
      </c>
      <c r="N351" s="10" t="n"/>
      <c r="O351" s="10" t="n"/>
      <c r="P351" s="10" t="n"/>
      <c r="Q351" s="10" t="n"/>
      <c r="R351" s="10" t="n"/>
    </row>
    <row r="352" ht="18" customHeight="1">
      <c r="A352" s="9" t="n"/>
      <c r="B352" s="9" t="n"/>
      <c r="C352" s="9" t="n"/>
      <c r="D352" s="9" t="n"/>
      <c r="E352" s="9" t="n"/>
      <c r="F352" s="9" t="n"/>
      <c r="G352" s="9" t="n"/>
      <c r="H352" s="9" t="n"/>
      <c r="I352" s="9" t="n"/>
      <c r="J352" s="9" t="n"/>
      <c r="K352" s="9">
        <f>IF(AND(D352&lt;&gt;"",H352&lt;&gt;""),ROUND(D352/H352,3),"")</f>
        <v/>
      </c>
      <c r="L352" s="9">
        <f>IF(AND(K352&lt;&gt;"",I352&lt;&gt;""),ROUND(K352/(I352/60),2),"")</f>
        <v/>
      </c>
      <c r="M352" s="9">
        <f>IF(AND(K352&lt;&gt;"",L352&lt;&gt;""),ROUND(K352*L352,3),"")</f>
        <v/>
      </c>
      <c r="N352" s="9" t="n"/>
      <c r="O352" s="9" t="n"/>
      <c r="P352" s="9" t="n"/>
      <c r="Q352" s="9" t="n"/>
      <c r="R352" s="9" t="n"/>
    </row>
    <row r="353" ht="18" customHeight="1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>
        <f>IF(AND(D353&lt;&gt;"",H353&lt;&gt;""),ROUND(D353/H353,3),"")</f>
        <v/>
      </c>
      <c r="L353" s="10">
        <f>IF(AND(K353&lt;&gt;"",I353&lt;&gt;""),ROUND(K353/(I353/60),2),"")</f>
        <v/>
      </c>
      <c r="M353" s="10">
        <f>IF(AND(K353&lt;&gt;"",L353&lt;&gt;""),ROUND(K353*L353,3),"")</f>
        <v/>
      </c>
      <c r="N353" s="10" t="n"/>
      <c r="O353" s="10" t="n"/>
      <c r="P353" s="10" t="n"/>
      <c r="Q353" s="10" t="n"/>
      <c r="R353" s="10" t="n"/>
    </row>
    <row r="354" ht="18" customHeight="1">
      <c r="A354" s="9" t="n"/>
      <c r="B354" s="9" t="n"/>
      <c r="C354" s="9" t="n"/>
      <c r="D354" s="9" t="n"/>
      <c r="E354" s="9" t="n"/>
      <c r="F354" s="9" t="n"/>
      <c r="G354" s="9" t="n"/>
      <c r="H354" s="9" t="n"/>
      <c r="I354" s="9" t="n"/>
      <c r="J354" s="9" t="n"/>
      <c r="K354" s="9">
        <f>IF(AND(D354&lt;&gt;"",H354&lt;&gt;""),ROUND(D354/H354,3),"")</f>
        <v/>
      </c>
      <c r="L354" s="9">
        <f>IF(AND(K354&lt;&gt;"",I354&lt;&gt;""),ROUND(K354/(I354/60),2),"")</f>
        <v/>
      </c>
      <c r="M354" s="9">
        <f>IF(AND(K354&lt;&gt;"",L354&lt;&gt;""),ROUND(K354*L354,3),"")</f>
        <v/>
      </c>
      <c r="N354" s="9" t="n"/>
      <c r="O354" s="9" t="n"/>
      <c r="P354" s="9" t="n"/>
      <c r="Q354" s="9" t="n"/>
      <c r="R354" s="9" t="n"/>
    </row>
    <row r="355" ht="18" customHeight="1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>
        <f>IF(AND(D355&lt;&gt;"",H355&lt;&gt;""),ROUND(D355/H355,3),"")</f>
        <v/>
      </c>
      <c r="L355" s="10">
        <f>IF(AND(K355&lt;&gt;"",I355&lt;&gt;""),ROUND(K355/(I355/60),2),"")</f>
        <v/>
      </c>
      <c r="M355" s="10">
        <f>IF(AND(K355&lt;&gt;"",L355&lt;&gt;""),ROUND(K355*L355,3),"")</f>
        <v/>
      </c>
      <c r="N355" s="10" t="n"/>
      <c r="O355" s="10" t="n"/>
      <c r="P355" s="10" t="n"/>
      <c r="Q355" s="10" t="n"/>
      <c r="R355" s="10" t="n"/>
    </row>
    <row r="356" ht="18" customHeight="1">
      <c r="A356" s="9" t="n"/>
      <c r="B356" s="9" t="n"/>
      <c r="C356" s="9" t="n"/>
      <c r="D356" s="9" t="n"/>
      <c r="E356" s="9" t="n"/>
      <c r="F356" s="9" t="n"/>
      <c r="G356" s="9" t="n"/>
      <c r="H356" s="9" t="n"/>
      <c r="I356" s="9" t="n"/>
      <c r="J356" s="9" t="n"/>
      <c r="K356" s="9">
        <f>IF(AND(D356&lt;&gt;"",H356&lt;&gt;""),ROUND(D356/H356,3),"")</f>
        <v/>
      </c>
      <c r="L356" s="9">
        <f>IF(AND(K356&lt;&gt;"",I356&lt;&gt;""),ROUND(K356/(I356/60),2),"")</f>
        <v/>
      </c>
      <c r="M356" s="9">
        <f>IF(AND(K356&lt;&gt;"",L356&lt;&gt;""),ROUND(K356*L356,3),"")</f>
        <v/>
      </c>
      <c r="N356" s="9" t="n"/>
      <c r="O356" s="9" t="n"/>
      <c r="P356" s="9" t="n"/>
      <c r="Q356" s="9" t="n"/>
      <c r="R356" s="9" t="n"/>
    </row>
    <row r="357" ht="18" customHeight="1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>
        <f>IF(AND(D357&lt;&gt;"",H357&lt;&gt;""),ROUND(D357/H357,3),"")</f>
        <v/>
      </c>
      <c r="L357" s="10">
        <f>IF(AND(K357&lt;&gt;"",I357&lt;&gt;""),ROUND(K357/(I357/60),2),"")</f>
        <v/>
      </c>
      <c r="M357" s="10">
        <f>IF(AND(K357&lt;&gt;"",L357&lt;&gt;""),ROUND(K357*L357,3),"")</f>
        <v/>
      </c>
      <c r="N357" s="10" t="n"/>
      <c r="O357" s="10" t="n"/>
      <c r="P357" s="10" t="n"/>
      <c r="Q357" s="10" t="n"/>
      <c r="R357" s="10" t="n"/>
    </row>
    <row r="358" ht="18" customHeight="1">
      <c r="A358" s="9" t="n"/>
      <c r="B358" s="9" t="n"/>
      <c r="C358" s="9" t="n"/>
      <c r="D358" s="9" t="n"/>
      <c r="E358" s="9" t="n"/>
      <c r="F358" s="9" t="n"/>
      <c r="G358" s="9" t="n"/>
      <c r="H358" s="9" t="n"/>
      <c r="I358" s="9" t="n"/>
      <c r="J358" s="9" t="n"/>
      <c r="K358" s="9">
        <f>IF(AND(D358&lt;&gt;"",H358&lt;&gt;""),ROUND(D358/H358,3),"")</f>
        <v/>
      </c>
      <c r="L358" s="9">
        <f>IF(AND(K358&lt;&gt;"",I358&lt;&gt;""),ROUND(K358/(I358/60),2),"")</f>
        <v/>
      </c>
      <c r="M358" s="9">
        <f>IF(AND(K358&lt;&gt;"",L358&lt;&gt;""),ROUND(K358*L358,3),"")</f>
        <v/>
      </c>
      <c r="N358" s="9" t="n"/>
      <c r="O358" s="9" t="n"/>
      <c r="P358" s="9" t="n"/>
      <c r="Q358" s="9" t="n"/>
      <c r="R358" s="9" t="n"/>
    </row>
    <row r="359" ht="18" customHeight="1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>
        <f>IF(AND(D359&lt;&gt;"",H359&lt;&gt;""),ROUND(D359/H359,3),"")</f>
        <v/>
      </c>
      <c r="L359" s="10">
        <f>IF(AND(K359&lt;&gt;"",I359&lt;&gt;""),ROUND(K359/(I359/60),2),"")</f>
        <v/>
      </c>
      <c r="M359" s="10">
        <f>IF(AND(K359&lt;&gt;"",L359&lt;&gt;""),ROUND(K359*L359,3),"")</f>
        <v/>
      </c>
      <c r="N359" s="10" t="n"/>
      <c r="O359" s="10" t="n"/>
      <c r="P359" s="10" t="n"/>
      <c r="Q359" s="10" t="n"/>
      <c r="R359" s="10" t="n"/>
    </row>
    <row r="360" ht="18" customHeight="1">
      <c r="A360" s="9" t="n"/>
      <c r="B360" s="9" t="n"/>
      <c r="C360" s="9" t="n"/>
      <c r="D360" s="9" t="n"/>
      <c r="E360" s="9" t="n"/>
      <c r="F360" s="9" t="n"/>
      <c r="G360" s="9" t="n"/>
      <c r="H360" s="9" t="n"/>
      <c r="I360" s="9" t="n"/>
      <c r="J360" s="9" t="n"/>
      <c r="K360" s="9">
        <f>IF(AND(D360&lt;&gt;"",H360&lt;&gt;""),ROUND(D360/H360,3),"")</f>
        <v/>
      </c>
      <c r="L360" s="9">
        <f>IF(AND(K360&lt;&gt;"",I360&lt;&gt;""),ROUND(K360/(I360/60),2),"")</f>
        <v/>
      </c>
      <c r="M360" s="9">
        <f>IF(AND(K360&lt;&gt;"",L360&lt;&gt;""),ROUND(K360*L360,3),"")</f>
        <v/>
      </c>
      <c r="N360" s="9" t="n"/>
      <c r="O360" s="9" t="n"/>
      <c r="P360" s="9" t="n"/>
      <c r="Q360" s="9" t="n"/>
      <c r="R360" s="9" t="n"/>
    </row>
    <row r="361" ht="18" customHeight="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>
        <f>IF(AND(D361&lt;&gt;"",H361&lt;&gt;""),ROUND(D361/H361,3),"")</f>
        <v/>
      </c>
      <c r="L361" s="10">
        <f>IF(AND(K361&lt;&gt;"",I361&lt;&gt;""),ROUND(K361/(I361/60),2),"")</f>
        <v/>
      </c>
      <c r="M361" s="10">
        <f>IF(AND(K361&lt;&gt;"",L361&lt;&gt;""),ROUND(K361*L361,3),"")</f>
        <v/>
      </c>
      <c r="N361" s="10" t="n"/>
      <c r="O361" s="10" t="n"/>
      <c r="P361" s="10" t="n"/>
      <c r="Q361" s="10" t="n"/>
      <c r="R361" s="10" t="n"/>
    </row>
    <row r="362" ht="18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>
        <f>IF(AND(D362&lt;&gt;"",H362&lt;&gt;""),ROUND(D362/H362,3),"")</f>
        <v/>
      </c>
      <c r="L362" s="9">
        <f>IF(AND(K362&lt;&gt;"",I362&lt;&gt;""),ROUND(K362/(I362/60),2),"")</f>
        <v/>
      </c>
      <c r="M362" s="9">
        <f>IF(AND(K362&lt;&gt;"",L362&lt;&gt;""),ROUND(K362*L362,3),"")</f>
        <v/>
      </c>
      <c r="N362" s="9" t="n"/>
      <c r="O362" s="9" t="n"/>
      <c r="P362" s="9" t="n"/>
      <c r="Q362" s="9" t="n"/>
      <c r="R362" s="9" t="n"/>
    </row>
    <row r="363" ht="18" customHeight="1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>
        <f>IF(AND(D363&lt;&gt;"",H363&lt;&gt;""),ROUND(D363/H363,3),"")</f>
        <v/>
      </c>
      <c r="L363" s="10">
        <f>IF(AND(K363&lt;&gt;"",I363&lt;&gt;""),ROUND(K363/(I363/60),2),"")</f>
        <v/>
      </c>
      <c r="M363" s="10">
        <f>IF(AND(K363&lt;&gt;"",L363&lt;&gt;""),ROUND(K363*L363,3),"")</f>
        <v/>
      </c>
      <c r="N363" s="10" t="n"/>
      <c r="O363" s="10" t="n"/>
      <c r="P363" s="10" t="n"/>
      <c r="Q363" s="10" t="n"/>
      <c r="R363" s="10" t="n"/>
    </row>
    <row r="364" ht="18" customHeight="1">
      <c r="A364" s="9" t="n"/>
      <c r="B364" s="9" t="n"/>
      <c r="C364" s="9" t="n"/>
      <c r="D364" s="9" t="n"/>
      <c r="E364" s="9" t="n"/>
      <c r="F364" s="9" t="n"/>
      <c r="G364" s="9" t="n"/>
      <c r="H364" s="9" t="n"/>
      <c r="I364" s="9" t="n"/>
      <c r="J364" s="9" t="n"/>
      <c r="K364" s="9">
        <f>IF(AND(D364&lt;&gt;"",H364&lt;&gt;""),ROUND(D364/H364,3),"")</f>
        <v/>
      </c>
      <c r="L364" s="9">
        <f>IF(AND(K364&lt;&gt;"",I364&lt;&gt;""),ROUND(K364/(I364/60),2),"")</f>
        <v/>
      </c>
      <c r="M364" s="9">
        <f>IF(AND(K364&lt;&gt;"",L364&lt;&gt;""),ROUND(K364*L364,3),"")</f>
        <v/>
      </c>
      <c r="N364" s="9" t="n"/>
      <c r="O364" s="9" t="n"/>
      <c r="P364" s="9" t="n"/>
      <c r="Q364" s="9" t="n"/>
      <c r="R364" s="9" t="n"/>
    </row>
    <row r="365" ht="18" customHeight="1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>
        <f>IF(AND(D365&lt;&gt;"",H365&lt;&gt;""),ROUND(D365/H365,3),"")</f>
        <v/>
      </c>
      <c r="L365" s="10">
        <f>IF(AND(K365&lt;&gt;"",I365&lt;&gt;""),ROUND(K365/(I365/60),2),"")</f>
        <v/>
      </c>
      <c r="M365" s="10">
        <f>IF(AND(K365&lt;&gt;"",L365&lt;&gt;""),ROUND(K365*L365,3),"")</f>
        <v/>
      </c>
      <c r="N365" s="10" t="n"/>
      <c r="O365" s="10" t="n"/>
      <c r="P365" s="10" t="n"/>
      <c r="Q365" s="10" t="n"/>
      <c r="R365" s="10" t="n"/>
    </row>
    <row r="366" ht="18" customHeight="1">
      <c r="A366" s="9" t="n"/>
      <c r="B366" s="9" t="n"/>
      <c r="C366" s="9" t="n"/>
      <c r="D366" s="9" t="n"/>
      <c r="E366" s="9" t="n"/>
      <c r="F366" s="9" t="n"/>
      <c r="G366" s="9" t="n"/>
      <c r="H366" s="9" t="n"/>
      <c r="I366" s="9" t="n"/>
      <c r="J366" s="9" t="n"/>
      <c r="K366" s="9">
        <f>IF(AND(D366&lt;&gt;"",H366&lt;&gt;""),ROUND(D366/H366,3),"")</f>
        <v/>
      </c>
      <c r="L366" s="9">
        <f>IF(AND(K366&lt;&gt;"",I366&lt;&gt;""),ROUND(K366/(I366/60),2),"")</f>
        <v/>
      </c>
      <c r="M366" s="9">
        <f>IF(AND(K366&lt;&gt;"",L366&lt;&gt;""),ROUND(K366*L366,3),"")</f>
        <v/>
      </c>
      <c r="N366" s="9" t="n"/>
      <c r="O366" s="9" t="n"/>
      <c r="P366" s="9" t="n"/>
      <c r="Q366" s="9" t="n"/>
      <c r="R366" s="9" t="n"/>
    </row>
    <row r="367" ht="18" customHeight="1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>
        <f>IF(AND(D367&lt;&gt;"",H367&lt;&gt;""),ROUND(D367/H367,3),"")</f>
        <v/>
      </c>
      <c r="L367" s="10">
        <f>IF(AND(K367&lt;&gt;"",I367&lt;&gt;""),ROUND(K367/(I367/60),2),"")</f>
        <v/>
      </c>
      <c r="M367" s="10">
        <f>IF(AND(K367&lt;&gt;"",L367&lt;&gt;""),ROUND(K367*L367,3),"")</f>
        <v/>
      </c>
      <c r="N367" s="10" t="n"/>
      <c r="O367" s="10" t="n"/>
      <c r="P367" s="10" t="n"/>
      <c r="Q367" s="10" t="n"/>
      <c r="R367" s="10" t="n"/>
    </row>
    <row r="368" ht="18" customHeight="1">
      <c r="A368" s="9" t="n"/>
      <c r="B368" s="9" t="n"/>
      <c r="C368" s="9" t="n"/>
      <c r="D368" s="9" t="n"/>
      <c r="E368" s="9" t="n"/>
      <c r="F368" s="9" t="n"/>
      <c r="G368" s="9" t="n"/>
      <c r="H368" s="9" t="n"/>
      <c r="I368" s="9" t="n"/>
      <c r="J368" s="9" t="n"/>
      <c r="K368" s="9">
        <f>IF(AND(D368&lt;&gt;"",H368&lt;&gt;""),ROUND(D368/H368,3),"")</f>
        <v/>
      </c>
      <c r="L368" s="9">
        <f>IF(AND(K368&lt;&gt;"",I368&lt;&gt;""),ROUND(K368/(I368/60),2),"")</f>
        <v/>
      </c>
      <c r="M368" s="9">
        <f>IF(AND(K368&lt;&gt;"",L368&lt;&gt;""),ROUND(K368*L368,3),"")</f>
        <v/>
      </c>
      <c r="N368" s="9" t="n"/>
      <c r="O368" s="9" t="n"/>
      <c r="P368" s="9" t="n"/>
      <c r="Q368" s="9" t="n"/>
      <c r="R368" s="9" t="n"/>
    </row>
    <row r="369" ht="18" customHeight="1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>
        <f>IF(AND(D369&lt;&gt;"",H369&lt;&gt;""),ROUND(D369/H369,3),"")</f>
        <v/>
      </c>
      <c r="L369" s="10">
        <f>IF(AND(K369&lt;&gt;"",I369&lt;&gt;""),ROUND(K369/(I369/60),2),"")</f>
        <v/>
      </c>
      <c r="M369" s="10">
        <f>IF(AND(K369&lt;&gt;"",L369&lt;&gt;""),ROUND(K369*L369,3),"")</f>
        <v/>
      </c>
      <c r="N369" s="10" t="n"/>
      <c r="O369" s="10" t="n"/>
      <c r="P369" s="10" t="n"/>
      <c r="Q369" s="10" t="n"/>
      <c r="R369" s="10" t="n"/>
    </row>
    <row r="370" ht="18" customHeight="1">
      <c r="A370" s="9" t="n"/>
      <c r="B370" s="9" t="n"/>
      <c r="C370" s="9" t="n"/>
      <c r="D370" s="9" t="n"/>
      <c r="E370" s="9" t="n"/>
      <c r="F370" s="9" t="n"/>
      <c r="G370" s="9" t="n"/>
      <c r="H370" s="9" t="n"/>
      <c r="I370" s="9" t="n"/>
      <c r="J370" s="9" t="n"/>
      <c r="K370" s="9">
        <f>IF(AND(D370&lt;&gt;"",H370&lt;&gt;""),ROUND(D370/H370,3),"")</f>
        <v/>
      </c>
      <c r="L370" s="9">
        <f>IF(AND(K370&lt;&gt;"",I370&lt;&gt;""),ROUND(K370/(I370/60),2),"")</f>
        <v/>
      </c>
      <c r="M370" s="9">
        <f>IF(AND(K370&lt;&gt;"",L370&lt;&gt;""),ROUND(K370*L370,3),"")</f>
        <v/>
      </c>
      <c r="N370" s="9" t="n"/>
      <c r="O370" s="9" t="n"/>
      <c r="P370" s="9" t="n"/>
      <c r="Q370" s="9" t="n"/>
      <c r="R370" s="9" t="n"/>
    </row>
    <row r="371" ht="18" customHeight="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>
        <f>IF(AND(D371&lt;&gt;"",H371&lt;&gt;""),ROUND(D371/H371,3),"")</f>
        <v/>
      </c>
      <c r="L371" s="10">
        <f>IF(AND(K371&lt;&gt;"",I371&lt;&gt;""),ROUND(K371/(I371/60),2),"")</f>
        <v/>
      </c>
      <c r="M371" s="10">
        <f>IF(AND(K371&lt;&gt;"",L371&lt;&gt;""),ROUND(K371*L371,3),"")</f>
        <v/>
      </c>
      <c r="N371" s="10" t="n"/>
      <c r="O371" s="10" t="n"/>
      <c r="P371" s="10" t="n"/>
      <c r="Q371" s="10" t="n"/>
      <c r="R371" s="10" t="n"/>
    </row>
    <row r="372" ht="18" customHeight="1">
      <c r="A372" s="9" t="n"/>
      <c r="B372" s="9" t="n"/>
      <c r="C372" s="9" t="n"/>
      <c r="D372" s="9" t="n"/>
      <c r="E372" s="9" t="n"/>
      <c r="F372" s="9" t="n"/>
      <c r="G372" s="9" t="n"/>
      <c r="H372" s="9" t="n"/>
      <c r="I372" s="9" t="n"/>
      <c r="J372" s="9" t="n"/>
      <c r="K372" s="9">
        <f>IF(AND(D372&lt;&gt;"",H372&lt;&gt;""),ROUND(D372/H372,3),"")</f>
        <v/>
      </c>
      <c r="L372" s="9">
        <f>IF(AND(K372&lt;&gt;"",I372&lt;&gt;""),ROUND(K372/(I372/60),2),"")</f>
        <v/>
      </c>
      <c r="M372" s="9">
        <f>IF(AND(K372&lt;&gt;"",L372&lt;&gt;""),ROUND(K372*L372,3),"")</f>
        <v/>
      </c>
      <c r="N372" s="9" t="n"/>
      <c r="O372" s="9" t="n"/>
      <c r="P372" s="9" t="n"/>
      <c r="Q372" s="9" t="n"/>
      <c r="R372" s="9" t="n"/>
    </row>
    <row r="373" ht="18" customHeight="1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>
        <f>IF(AND(D373&lt;&gt;"",H373&lt;&gt;""),ROUND(D373/H373,3),"")</f>
        <v/>
      </c>
      <c r="L373" s="10">
        <f>IF(AND(K373&lt;&gt;"",I373&lt;&gt;""),ROUND(K373/(I373/60),2),"")</f>
        <v/>
      </c>
      <c r="M373" s="10">
        <f>IF(AND(K373&lt;&gt;"",L373&lt;&gt;""),ROUND(K373*L373,3),"")</f>
        <v/>
      </c>
      <c r="N373" s="10" t="n"/>
      <c r="O373" s="10" t="n"/>
      <c r="P373" s="10" t="n"/>
      <c r="Q373" s="10" t="n"/>
      <c r="R373" s="10" t="n"/>
    </row>
    <row r="374" ht="18" customHeight="1">
      <c r="A374" s="9" t="n"/>
      <c r="B374" s="9" t="n"/>
      <c r="C374" s="9" t="n"/>
      <c r="D374" s="9" t="n"/>
      <c r="E374" s="9" t="n"/>
      <c r="F374" s="9" t="n"/>
      <c r="G374" s="9" t="n"/>
      <c r="H374" s="9" t="n"/>
      <c r="I374" s="9" t="n"/>
      <c r="J374" s="9" t="n"/>
      <c r="K374" s="9">
        <f>IF(AND(D374&lt;&gt;"",H374&lt;&gt;""),ROUND(D374/H374,3),"")</f>
        <v/>
      </c>
      <c r="L374" s="9">
        <f>IF(AND(K374&lt;&gt;"",I374&lt;&gt;""),ROUND(K374/(I374/60),2),"")</f>
        <v/>
      </c>
      <c r="M374" s="9">
        <f>IF(AND(K374&lt;&gt;"",L374&lt;&gt;""),ROUND(K374*L374,3),"")</f>
        <v/>
      </c>
      <c r="N374" s="9" t="n"/>
      <c r="O374" s="9" t="n"/>
      <c r="P374" s="9" t="n"/>
      <c r="Q374" s="9" t="n"/>
      <c r="R374" s="9" t="n"/>
    </row>
    <row r="375" ht="18" customHeight="1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>
        <f>IF(AND(D375&lt;&gt;"",H375&lt;&gt;""),ROUND(D375/H375,3),"")</f>
        <v/>
      </c>
      <c r="L375" s="10">
        <f>IF(AND(K375&lt;&gt;"",I375&lt;&gt;""),ROUND(K375/(I375/60),2),"")</f>
        <v/>
      </c>
      <c r="M375" s="10">
        <f>IF(AND(K375&lt;&gt;"",L375&lt;&gt;""),ROUND(K375*L375,3),"")</f>
        <v/>
      </c>
      <c r="N375" s="10" t="n"/>
      <c r="O375" s="10" t="n"/>
      <c r="P375" s="10" t="n"/>
      <c r="Q375" s="10" t="n"/>
      <c r="R375" s="10" t="n"/>
    </row>
    <row r="376" ht="18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>
        <f>IF(AND(D376&lt;&gt;"",H376&lt;&gt;""),ROUND(D376/H376,3),"")</f>
        <v/>
      </c>
      <c r="L376" s="9">
        <f>IF(AND(K376&lt;&gt;"",I376&lt;&gt;""),ROUND(K376/(I376/60),2),"")</f>
        <v/>
      </c>
      <c r="M376" s="9">
        <f>IF(AND(K376&lt;&gt;"",L376&lt;&gt;""),ROUND(K376*L376,3),"")</f>
        <v/>
      </c>
      <c r="N376" s="9" t="n"/>
      <c r="O376" s="9" t="n"/>
      <c r="P376" s="9" t="n"/>
      <c r="Q376" s="9" t="n"/>
      <c r="R376" s="9" t="n"/>
    </row>
    <row r="377" ht="18" customHeight="1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>
        <f>IF(AND(D377&lt;&gt;"",H377&lt;&gt;""),ROUND(D377/H377,3),"")</f>
        <v/>
      </c>
      <c r="L377" s="10">
        <f>IF(AND(K377&lt;&gt;"",I377&lt;&gt;""),ROUND(K377/(I377/60),2),"")</f>
        <v/>
      </c>
      <c r="M377" s="10">
        <f>IF(AND(K377&lt;&gt;"",L377&lt;&gt;""),ROUND(K377*L377,3),"")</f>
        <v/>
      </c>
      <c r="N377" s="10" t="n"/>
      <c r="O377" s="10" t="n"/>
      <c r="P377" s="10" t="n"/>
      <c r="Q377" s="10" t="n"/>
      <c r="R377" s="10" t="n"/>
    </row>
    <row r="378" ht="18" customHeight="1">
      <c r="A378" s="9" t="n"/>
      <c r="B378" s="9" t="n"/>
      <c r="C378" s="9" t="n"/>
      <c r="D378" s="9" t="n"/>
      <c r="E378" s="9" t="n"/>
      <c r="F378" s="9" t="n"/>
      <c r="G378" s="9" t="n"/>
      <c r="H378" s="9" t="n"/>
      <c r="I378" s="9" t="n"/>
      <c r="J378" s="9" t="n"/>
      <c r="K378" s="9">
        <f>IF(AND(D378&lt;&gt;"",H378&lt;&gt;""),ROUND(D378/H378,3),"")</f>
        <v/>
      </c>
      <c r="L378" s="9">
        <f>IF(AND(K378&lt;&gt;"",I378&lt;&gt;""),ROUND(K378/(I378/60),2),"")</f>
        <v/>
      </c>
      <c r="M378" s="9">
        <f>IF(AND(K378&lt;&gt;"",L378&lt;&gt;""),ROUND(K378*L378,3),"")</f>
        <v/>
      </c>
      <c r="N378" s="9" t="n"/>
      <c r="O378" s="9" t="n"/>
      <c r="P378" s="9" t="n"/>
      <c r="Q378" s="9" t="n"/>
      <c r="R378" s="9" t="n"/>
    </row>
    <row r="379" ht="18" customHeight="1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>
        <f>IF(AND(D379&lt;&gt;"",H379&lt;&gt;""),ROUND(D379/H379,3),"")</f>
        <v/>
      </c>
      <c r="L379" s="10">
        <f>IF(AND(K379&lt;&gt;"",I379&lt;&gt;""),ROUND(K379/(I379/60),2),"")</f>
        <v/>
      </c>
      <c r="M379" s="10">
        <f>IF(AND(K379&lt;&gt;"",L379&lt;&gt;""),ROUND(K379*L379,3),"")</f>
        <v/>
      </c>
      <c r="N379" s="10" t="n"/>
      <c r="O379" s="10" t="n"/>
      <c r="P379" s="10" t="n"/>
      <c r="Q379" s="10" t="n"/>
      <c r="R379" s="10" t="n"/>
    </row>
    <row r="380" ht="18" customHeight="1">
      <c r="A380" s="9" t="n"/>
      <c r="B380" s="9" t="n"/>
      <c r="C380" s="9" t="n"/>
      <c r="D380" s="9" t="n"/>
      <c r="E380" s="9" t="n"/>
      <c r="F380" s="9" t="n"/>
      <c r="G380" s="9" t="n"/>
      <c r="H380" s="9" t="n"/>
      <c r="I380" s="9" t="n"/>
      <c r="J380" s="9" t="n"/>
      <c r="K380" s="9">
        <f>IF(AND(D380&lt;&gt;"",H380&lt;&gt;""),ROUND(D380/H380,3),"")</f>
        <v/>
      </c>
      <c r="L380" s="9">
        <f>IF(AND(K380&lt;&gt;"",I380&lt;&gt;""),ROUND(K380/(I380/60),2),"")</f>
        <v/>
      </c>
      <c r="M380" s="9">
        <f>IF(AND(K380&lt;&gt;"",L380&lt;&gt;""),ROUND(K380*L380,3),"")</f>
        <v/>
      </c>
      <c r="N380" s="9" t="n"/>
      <c r="O380" s="9" t="n"/>
      <c r="P380" s="9" t="n"/>
      <c r="Q380" s="9" t="n"/>
      <c r="R380" s="9" t="n"/>
    </row>
    <row r="381" ht="18" customHeight="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>
        <f>IF(AND(D381&lt;&gt;"",H381&lt;&gt;""),ROUND(D381/H381,3),"")</f>
        <v/>
      </c>
      <c r="L381" s="10">
        <f>IF(AND(K381&lt;&gt;"",I381&lt;&gt;""),ROUND(K381/(I381/60),2),"")</f>
        <v/>
      </c>
      <c r="M381" s="10">
        <f>IF(AND(K381&lt;&gt;"",L381&lt;&gt;""),ROUND(K381*L381,3),"")</f>
        <v/>
      </c>
      <c r="N381" s="10" t="n"/>
      <c r="O381" s="10" t="n"/>
      <c r="P381" s="10" t="n"/>
      <c r="Q381" s="10" t="n"/>
      <c r="R381" s="10" t="n"/>
    </row>
    <row r="382" ht="18" customHeight="1">
      <c r="A382" s="9" t="n"/>
      <c r="B382" s="9" t="n"/>
      <c r="C382" s="9" t="n"/>
      <c r="D382" s="9" t="n"/>
      <c r="E382" s="9" t="n"/>
      <c r="F382" s="9" t="n"/>
      <c r="G382" s="9" t="n"/>
      <c r="H382" s="9" t="n"/>
      <c r="I382" s="9" t="n"/>
      <c r="J382" s="9" t="n"/>
      <c r="K382" s="9">
        <f>IF(AND(D382&lt;&gt;"",H382&lt;&gt;""),ROUND(D382/H382,3),"")</f>
        <v/>
      </c>
      <c r="L382" s="9">
        <f>IF(AND(K382&lt;&gt;"",I382&lt;&gt;""),ROUND(K382/(I382/60),2),"")</f>
        <v/>
      </c>
      <c r="M382" s="9">
        <f>IF(AND(K382&lt;&gt;"",L382&lt;&gt;""),ROUND(K382*L382,3),"")</f>
        <v/>
      </c>
      <c r="N382" s="9" t="n"/>
      <c r="O382" s="9" t="n"/>
      <c r="P382" s="9" t="n"/>
      <c r="Q382" s="9" t="n"/>
      <c r="R382" s="9" t="n"/>
    </row>
    <row r="383" ht="18" customHeight="1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>
        <f>IF(AND(D383&lt;&gt;"",H383&lt;&gt;""),ROUND(D383/H383,3),"")</f>
        <v/>
      </c>
      <c r="L383" s="10">
        <f>IF(AND(K383&lt;&gt;"",I383&lt;&gt;""),ROUND(K383/(I383/60),2),"")</f>
        <v/>
      </c>
      <c r="M383" s="10">
        <f>IF(AND(K383&lt;&gt;"",L383&lt;&gt;""),ROUND(K383*L383,3),"")</f>
        <v/>
      </c>
      <c r="N383" s="10" t="n"/>
      <c r="O383" s="10" t="n"/>
      <c r="P383" s="10" t="n"/>
      <c r="Q383" s="10" t="n"/>
      <c r="R383" s="10" t="n"/>
    </row>
    <row r="384" ht="18" customHeight="1">
      <c r="A384" s="9" t="n"/>
      <c r="B384" s="9" t="n"/>
      <c r="C384" s="9" t="n"/>
      <c r="D384" s="9" t="n"/>
      <c r="E384" s="9" t="n"/>
      <c r="F384" s="9" t="n"/>
      <c r="G384" s="9" t="n"/>
      <c r="H384" s="9" t="n"/>
      <c r="I384" s="9" t="n"/>
      <c r="J384" s="9" t="n"/>
      <c r="K384" s="9">
        <f>IF(AND(D384&lt;&gt;"",H384&lt;&gt;""),ROUND(D384/H384,3),"")</f>
        <v/>
      </c>
      <c r="L384" s="9">
        <f>IF(AND(K384&lt;&gt;"",I384&lt;&gt;""),ROUND(K384/(I384/60),2),"")</f>
        <v/>
      </c>
      <c r="M384" s="9">
        <f>IF(AND(K384&lt;&gt;"",L384&lt;&gt;""),ROUND(K384*L384,3),"")</f>
        <v/>
      </c>
      <c r="N384" s="9" t="n"/>
      <c r="O384" s="9" t="n"/>
      <c r="P384" s="9" t="n"/>
      <c r="Q384" s="9" t="n"/>
      <c r="R384" s="9" t="n"/>
    </row>
    <row r="385" ht="18" customHeight="1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>
        <f>IF(AND(D385&lt;&gt;"",H385&lt;&gt;""),ROUND(D385/H385,3),"")</f>
        <v/>
      </c>
      <c r="L385" s="10">
        <f>IF(AND(K385&lt;&gt;"",I385&lt;&gt;""),ROUND(K385/(I385/60),2),"")</f>
        <v/>
      </c>
      <c r="M385" s="10">
        <f>IF(AND(K385&lt;&gt;"",L385&lt;&gt;""),ROUND(K385*L385,3),"")</f>
        <v/>
      </c>
      <c r="N385" s="10" t="n"/>
      <c r="O385" s="10" t="n"/>
      <c r="P385" s="10" t="n"/>
      <c r="Q385" s="10" t="n"/>
      <c r="R385" s="10" t="n"/>
    </row>
    <row r="386" ht="18" customHeight="1">
      <c r="A386" s="9" t="n"/>
      <c r="B386" s="9" t="n"/>
      <c r="C386" s="9" t="n"/>
      <c r="D386" s="9" t="n"/>
      <c r="E386" s="9" t="n"/>
      <c r="F386" s="9" t="n"/>
      <c r="G386" s="9" t="n"/>
      <c r="H386" s="9" t="n"/>
      <c r="I386" s="9" t="n"/>
      <c r="J386" s="9" t="n"/>
      <c r="K386" s="9">
        <f>IF(AND(D386&lt;&gt;"",H386&lt;&gt;""),ROUND(D386/H386,3),"")</f>
        <v/>
      </c>
      <c r="L386" s="9">
        <f>IF(AND(K386&lt;&gt;"",I386&lt;&gt;""),ROUND(K386/(I386/60),2),"")</f>
        <v/>
      </c>
      <c r="M386" s="9">
        <f>IF(AND(K386&lt;&gt;"",L386&lt;&gt;""),ROUND(K386*L386,3),"")</f>
        <v/>
      </c>
      <c r="N386" s="9" t="n"/>
      <c r="O386" s="9" t="n"/>
      <c r="P386" s="9" t="n"/>
      <c r="Q386" s="9" t="n"/>
      <c r="R386" s="9" t="n"/>
    </row>
    <row r="387" ht="18" customHeight="1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>
        <f>IF(AND(D387&lt;&gt;"",H387&lt;&gt;""),ROUND(D387/H387,3),"")</f>
        <v/>
      </c>
      <c r="L387" s="10">
        <f>IF(AND(K387&lt;&gt;"",I387&lt;&gt;""),ROUND(K387/(I387/60),2),"")</f>
        <v/>
      </c>
      <c r="M387" s="10">
        <f>IF(AND(K387&lt;&gt;"",L387&lt;&gt;""),ROUND(K387*L387,3),"")</f>
        <v/>
      </c>
      <c r="N387" s="10" t="n"/>
      <c r="O387" s="10" t="n"/>
      <c r="P387" s="10" t="n"/>
      <c r="Q387" s="10" t="n"/>
      <c r="R387" s="10" t="n"/>
    </row>
    <row r="388" ht="18" customHeight="1">
      <c r="A388" s="9" t="n"/>
      <c r="B388" s="9" t="n"/>
      <c r="C388" s="9" t="n"/>
      <c r="D388" s="9" t="n"/>
      <c r="E388" s="9" t="n"/>
      <c r="F388" s="9" t="n"/>
      <c r="G388" s="9" t="n"/>
      <c r="H388" s="9" t="n"/>
      <c r="I388" s="9" t="n"/>
      <c r="J388" s="9" t="n"/>
      <c r="K388" s="9">
        <f>IF(AND(D388&lt;&gt;"",H388&lt;&gt;""),ROUND(D388/H388,3),"")</f>
        <v/>
      </c>
      <c r="L388" s="9">
        <f>IF(AND(K388&lt;&gt;"",I388&lt;&gt;""),ROUND(K388/(I388/60),2),"")</f>
        <v/>
      </c>
      <c r="M388" s="9">
        <f>IF(AND(K388&lt;&gt;"",L388&lt;&gt;""),ROUND(K388*L388,3),"")</f>
        <v/>
      </c>
      <c r="N388" s="9" t="n"/>
      <c r="O388" s="9" t="n"/>
      <c r="P388" s="9" t="n"/>
      <c r="Q388" s="9" t="n"/>
      <c r="R388" s="9" t="n"/>
    </row>
    <row r="389" ht="18" customHeight="1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>
        <f>IF(AND(D389&lt;&gt;"",H389&lt;&gt;""),ROUND(D389/H389,3),"")</f>
        <v/>
      </c>
      <c r="L389" s="10">
        <f>IF(AND(K389&lt;&gt;"",I389&lt;&gt;""),ROUND(K389/(I389/60),2),"")</f>
        <v/>
      </c>
      <c r="M389" s="10">
        <f>IF(AND(K389&lt;&gt;"",L389&lt;&gt;""),ROUND(K389*L389,3),"")</f>
        <v/>
      </c>
      <c r="N389" s="10" t="n"/>
      <c r="O389" s="10" t="n"/>
      <c r="P389" s="10" t="n"/>
      <c r="Q389" s="10" t="n"/>
      <c r="R389" s="10" t="n"/>
    </row>
    <row r="390" ht="18" customHeight="1">
      <c r="A390" s="9" t="n"/>
      <c r="B390" s="9" t="n"/>
      <c r="C390" s="9" t="n"/>
      <c r="D390" s="9" t="n"/>
      <c r="E390" s="9" t="n"/>
      <c r="F390" s="9" t="n"/>
      <c r="G390" s="9" t="n"/>
      <c r="H390" s="9" t="n"/>
      <c r="I390" s="9" t="n"/>
      <c r="J390" s="9" t="n"/>
      <c r="K390" s="9">
        <f>IF(AND(D390&lt;&gt;"",H390&lt;&gt;""),ROUND(D390/H390,3),"")</f>
        <v/>
      </c>
      <c r="L390" s="9">
        <f>IF(AND(K390&lt;&gt;"",I390&lt;&gt;""),ROUND(K390/(I390/60),2),"")</f>
        <v/>
      </c>
      <c r="M390" s="9">
        <f>IF(AND(K390&lt;&gt;"",L390&lt;&gt;""),ROUND(K390*L390,3),"")</f>
        <v/>
      </c>
      <c r="N390" s="9" t="n"/>
      <c r="O390" s="9" t="n"/>
      <c r="P390" s="9" t="n"/>
      <c r="Q390" s="9" t="n"/>
      <c r="R390" s="9" t="n"/>
    </row>
    <row r="391" ht="18" customHeight="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>
        <f>IF(AND(D391&lt;&gt;"",H391&lt;&gt;""),ROUND(D391/H391,3),"")</f>
        <v/>
      </c>
      <c r="L391" s="10">
        <f>IF(AND(K391&lt;&gt;"",I391&lt;&gt;""),ROUND(K391/(I391/60),2),"")</f>
        <v/>
      </c>
      <c r="M391" s="10">
        <f>IF(AND(K391&lt;&gt;"",L391&lt;&gt;""),ROUND(K391*L391,3),"")</f>
        <v/>
      </c>
      <c r="N391" s="10" t="n"/>
      <c r="O391" s="10" t="n"/>
      <c r="P391" s="10" t="n"/>
      <c r="Q391" s="10" t="n"/>
      <c r="R391" s="10" t="n"/>
    </row>
    <row r="392" ht="18" customHeight="1">
      <c r="A392" s="9" t="n"/>
      <c r="B392" s="9" t="n"/>
      <c r="C392" s="9" t="n"/>
      <c r="D392" s="9" t="n"/>
      <c r="E392" s="9" t="n"/>
      <c r="F392" s="9" t="n"/>
      <c r="G392" s="9" t="n"/>
      <c r="H392" s="9" t="n"/>
      <c r="I392" s="9" t="n"/>
      <c r="J392" s="9" t="n"/>
      <c r="K392" s="9">
        <f>IF(AND(D392&lt;&gt;"",H392&lt;&gt;""),ROUND(D392/H392,3),"")</f>
        <v/>
      </c>
      <c r="L392" s="9">
        <f>IF(AND(K392&lt;&gt;"",I392&lt;&gt;""),ROUND(K392/(I392/60),2),"")</f>
        <v/>
      </c>
      <c r="M392" s="9">
        <f>IF(AND(K392&lt;&gt;"",L392&lt;&gt;""),ROUND(K392*L392,3),"")</f>
        <v/>
      </c>
      <c r="N392" s="9" t="n"/>
      <c r="O392" s="9" t="n"/>
      <c r="P392" s="9" t="n"/>
      <c r="Q392" s="9" t="n"/>
      <c r="R392" s="9" t="n"/>
    </row>
    <row r="393" ht="18" customHeight="1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>
        <f>IF(AND(D393&lt;&gt;"",H393&lt;&gt;""),ROUND(D393/H393,3),"")</f>
        <v/>
      </c>
      <c r="L393" s="10">
        <f>IF(AND(K393&lt;&gt;"",I393&lt;&gt;""),ROUND(K393/(I393/60),2),"")</f>
        <v/>
      </c>
      <c r="M393" s="10">
        <f>IF(AND(K393&lt;&gt;"",L393&lt;&gt;""),ROUND(K393*L393,3),"")</f>
        <v/>
      </c>
      <c r="N393" s="10" t="n"/>
      <c r="O393" s="10" t="n"/>
      <c r="P393" s="10" t="n"/>
      <c r="Q393" s="10" t="n"/>
      <c r="R393" s="10" t="n"/>
    </row>
    <row r="394" ht="18" customHeight="1">
      <c r="A394" s="9" t="n"/>
      <c r="B394" s="9" t="n"/>
      <c r="C394" s="9" t="n"/>
      <c r="D394" s="9" t="n"/>
      <c r="E394" s="9" t="n"/>
      <c r="F394" s="9" t="n"/>
      <c r="G394" s="9" t="n"/>
      <c r="H394" s="9" t="n"/>
      <c r="I394" s="9" t="n"/>
      <c r="J394" s="9" t="n"/>
      <c r="K394" s="9">
        <f>IF(AND(D394&lt;&gt;"",H394&lt;&gt;""),ROUND(D394/H394,3),"")</f>
        <v/>
      </c>
      <c r="L394" s="9">
        <f>IF(AND(K394&lt;&gt;"",I394&lt;&gt;""),ROUND(K394/(I394/60),2),"")</f>
        <v/>
      </c>
      <c r="M394" s="9">
        <f>IF(AND(K394&lt;&gt;"",L394&lt;&gt;""),ROUND(K394*L394,3),"")</f>
        <v/>
      </c>
      <c r="N394" s="9" t="n"/>
      <c r="O394" s="9" t="n"/>
      <c r="P394" s="9" t="n"/>
      <c r="Q394" s="9" t="n"/>
      <c r="R394" s="9" t="n"/>
    </row>
    <row r="395" ht="18" customHeight="1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>
        <f>IF(AND(D395&lt;&gt;"",H395&lt;&gt;""),ROUND(D395/H395,3),"")</f>
        <v/>
      </c>
      <c r="L395" s="10">
        <f>IF(AND(K395&lt;&gt;"",I395&lt;&gt;""),ROUND(K395/(I395/60),2),"")</f>
        <v/>
      </c>
      <c r="M395" s="10">
        <f>IF(AND(K395&lt;&gt;"",L395&lt;&gt;""),ROUND(K395*L395,3),"")</f>
        <v/>
      </c>
      <c r="N395" s="10" t="n"/>
      <c r="O395" s="10" t="n"/>
      <c r="P395" s="10" t="n"/>
      <c r="Q395" s="10" t="n"/>
      <c r="R395" s="10" t="n"/>
    </row>
    <row r="396" ht="18" customHeight="1">
      <c r="A396" s="9" t="n"/>
      <c r="B396" s="9" t="n"/>
      <c r="C396" s="9" t="n"/>
      <c r="D396" s="9" t="n"/>
      <c r="E396" s="9" t="n"/>
      <c r="F396" s="9" t="n"/>
      <c r="G396" s="9" t="n"/>
      <c r="H396" s="9" t="n"/>
      <c r="I396" s="9" t="n"/>
      <c r="J396" s="9" t="n"/>
      <c r="K396" s="9">
        <f>IF(AND(D396&lt;&gt;"",H396&lt;&gt;""),ROUND(D396/H396,3),"")</f>
        <v/>
      </c>
      <c r="L396" s="9">
        <f>IF(AND(K396&lt;&gt;"",I396&lt;&gt;""),ROUND(K396/(I396/60),2),"")</f>
        <v/>
      </c>
      <c r="M396" s="9">
        <f>IF(AND(K396&lt;&gt;"",L396&lt;&gt;""),ROUND(K396*L396,3),"")</f>
        <v/>
      </c>
      <c r="N396" s="9" t="n"/>
      <c r="O396" s="9" t="n"/>
      <c r="P396" s="9" t="n"/>
      <c r="Q396" s="9" t="n"/>
      <c r="R396" s="9" t="n"/>
    </row>
    <row r="397" ht="18" customHeight="1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>
        <f>IF(AND(D397&lt;&gt;"",H397&lt;&gt;""),ROUND(D397/H397,3),"")</f>
        <v/>
      </c>
      <c r="L397" s="10">
        <f>IF(AND(K397&lt;&gt;"",I397&lt;&gt;""),ROUND(K397/(I397/60),2),"")</f>
        <v/>
      </c>
      <c r="M397" s="10">
        <f>IF(AND(K397&lt;&gt;"",L397&lt;&gt;""),ROUND(K397*L397,3),"")</f>
        <v/>
      </c>
      <c r="N397" s="10" t="n"/>
      <c r="O397" s="10" t="n"/>
      <c r="P397" s="10" t="n"/>
      <c r="Q397" s="10" t="n"/>
      <c r="R397" s="10" t="n"/>
    </row>
    <row r="398" ht="18" customHeight="1">
      <c r="A398" s="9" t="n"/>
      <c r="B398" s="9" t="n"/>
      <c r="C398" s="9" t="n"/>
      <c r="D398" s="9" t="n"/>
      <c r="E398" s="9" t="n"/>
      <c r="F398" s="9" t="n"/>
      <c r="G398" s="9" t="n"/>
      <c r="H398" s="9" t="n"/>
      <c r="I398" s="9" t="n"/>
      <c r="J398" s="9" t="n"/>
      <c r="K398" s="9">
        <f>IF(AND(D398&lt;&gt;"",H398&lt;&gt;""),ROUND(D398/H398,3),"")</f>
        <v/>
      </c>
      <c r="L398" s="9">
        <f>IF(AND(K398&lt;&gt;"",I398&lt;&gt;""),ROUND(K398/(I398/60),2),"")</f>
        <v/>
      </c>
      <c r="M398" s="9">
        <f>IF(AND(K398&lt;&gt;"",L398&lt;&gt;""),ROUND(K398*L398,3),"")</f>
        <v/>
      </c>
      <c r="N398" s="9" t="n"/>
      <c r="O398" s="9" t="n"/>
      <c r="P398" s="9" t="n"/>
      <c r="Q398" s="9" t="n"/>
      <c r="R398" s="9" t="n"/>
    </row>
    <row r="399" ht="18" customHeight="1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>
        <f>IF(AND(D399&lt;&gt;"",H399&lt;&gt;""),ROUND(D399/H399,3),"")</f>
        <v/>
      </c>
      <c r="L399" s="10">
        <f>IF(AND(K399&lt;&gt;"",I399&lt;&gt;""),ROUND(K399/(I399/60),2),"")</f>
        <v/>
      </c>
      <c r="M399" s="10">
        <f>IF(AND(K399&lt;&gt;"",L399&lt;&gt;""),ROUND(K399*L399,3),"")</f>
        <v/>
      </c>
      <c r="N399" s="10" t="n"/>
      <c r="O399" s="10" t="n"/>
      <c r="P399" s="10" t="n"/>
      <c r="Q399" s="10" t="n"/>
      <c r="R399" s="10" t="n"/>
    </row>
    <row r="400" ht="18" customHeight="1">
      <c r="A400" s="9" t="n"/>
      <c r="B400" s="9" t="n"/>
      <c r="C400" s="9" t="n"/>
      <c r="D400" s="9" t="n"/>
      <c r="E400" s="9" t="n"/>
      <c r="F400" s="9" t="n"/>
      <c r="G400" s="9" t="n"/>
      <c r="H400" s="9" t="n"/>
      <c r="I400" s="9" t="n"/>
      <c r="J400" s="9" t="n"/>
      <c r="K400" s="9">
        <f>IF(AND(D400&lt;&gt;"",H400&lt;&gt;""),ROUND(D400/H400,3),"")</f>
        <v/>
      </c>
      <c r="L400" s="9">
        <f>IF(AND(K400&lt;&gt;"",I400&lt;&gt;""),ROUND(K400/(I400/60),2),"")</f>
        <v/>
      </c>
      <c r="M400" s="9">
        <f>IF(AND(K400&lt;&gt;"",L400&lt;&gt;""),ROUND(K400*L400,3),"")</f>
        <v/>
      </c>
      <c r="N400" s="9" t="n"/>
      <c r="O400" s="9" t="n"/>
      <c r="P400" s="9" t="n"/>
      <c r="Q400" s="9" t="n"/>
      <c r="R400" s="9" t="n"/>
    </row>
    <row r="401" ht="18" customHeight="1">
      <c r="A401" s="10" t="n"/>
      <c r="B401" s="10" t="n"/>
      <c r="C401" s="10" t="n"/>
      <c r="D401" s="10" t="n"/>
      <c r="E401" s="10" t="n"/>
      <c r="F401" s="10" t="n"/>
      <c r="G401" s="10" t="n"/>
      <c r="H401" s="10" t="n"/>
      <c r="I401" s="10" t="n"/>
      <c r="J401" s="10" t="n"/>
      <c r="K401" s="10">
        <f>IF(AND(D401&lt;&gt;"",H401&lt;&gt;""),ROUND(D401/H401,3),"")</f>
        <v/>
      </c>
      <c r="L401" s="10">
        <f>IF(AND(K401&lt;&gt;"",I401&lt;&gt;""),ROUND(K401/(I401/60),2),"")</f>
        <v/>
      </c>
      <c r="M401" s="10">
        <f>IF(AND(K401&lt;&gt;"",L401&lt;&gt;""),ROUND(K401*L401,3),"")</f>
        <v/>
      </c>
      <c r="N401" s="10" t="n"/>
      <c r="O401" s="10" t="n"/>
      <c r="P401" s="10" t="n"/>
      <c r="Q401" s="10" t="n"/>
      <c r="R401" s="10" t="n"/>
    </row>
    <row r="402" ht="18" customHeight="1">
      <c r="A402" s="9" t="n"/>
      <c r="B402" s="9" t="n"/>
      <c r="C402" s="9" t="n"/>
      <c r="D402" s="9" t="n"/>
      <c r="E402" s="9" t="n"/>
      <c r="F402" s="9" t="n"/>
      <c r="G402" s="9" t="n"/>
      <c r="H402" s="9" t="n"/>
      <c r="I402" s="9" t="n"/>
      <c r="J402" s="9" t="n"/>
      <c r="K402" s="9">
        <f>IF(AND(D402&lt;&gt;"",H402&lt;&gt;""),ROUND(D402/H402,3),"")</f>
        <v/>
      </c>
      <c r="L402" s="9">
        <f>IF(AND(K402&lt;&gt;"",I402&lt;&gt;""),ROUND(K402/(I402/60),2),"")</f>
        <v/>
      </c>
      <c r="M402" s="9">
        <f>IF(AND(K402&lt;&gt;"",L402&lt;&gt;""),ROUND(K402*L402,3),"")</f>
        <v/>
      </c>
      <c r="N402" s="9" t="n"/>
      <c r="O402" s="9" t="n"/>
      <c r="P402" s="9" t="n"/>
      <c r="Q402" s="9" t="n"/>
      <c r="R402" s="9" t="n"/>
    </row>
    <row r="403" ht="18" customHeight="1">
      <c r="A403" s="10" t="n"/>
      <c r="B403" s="10" t="n"/>
      <c r="C403" s="10" t="n"/>
      <c r="D403" s="10" t="n"/>
      <c r="E403" s="10" t="n"/>
      <c r="F403" s="10" t="n"/>
      <c r="G403" s="10" t="n"/>
      <c r="H403" s="10" t="n"/>
      <c r="I403" s="10" t="n"/>
      <c r="J403" s="10" t="n"/>
      <c r="K403" s="10">
        <f>IF(AND(D403&lt;&gt;"",H403&lt;&gt;""),ROUND(D403/H403,3),"")</f>
        <v/>
      </c>
      <c r="L403" s="10">
        <f>IF(AND(K403&lt;&gt;"",I403&lt;&gt;""),ROUND(K403/(I403/60),2),"")</f>
        <v/>
      </c>
      <c r="M403" s="10">
        <f>IF(AND(K403&lt;&gt;"",L403&lt;&gt;""),ROUND(K403*L403,3),"")</f>
        <v/>
      </c>
      <c r="N403" s="10" t="n"/>
      <c r="O403" s="10" t="n"/>
      <c r="P403" s="10" t="n"/>
      <c r="Q403" s="10" t="n"/>
      <c r="R403" s="10" t="n"/>
    </row>
    <row r="404" ht="18" customHeight="1">
      <c r="A404" s="9" t="n"/>
      <c r="B404" s="9" t="n"/>
      <c r="C404" s="9" t="n"/>
      <c r="D404" s="9" t="n"/>
      <c r="E404" s="9" t="n"/>
      <c r="F404" s="9" t="n"/>
      <c r="G404" s="9" t="n"/>
      <c r="H404" s="9" t="n"/>
      <c r="I404" s="9" t="n"/>
      <c r="J404" s="9" t="n"/>
      <c r="K404" s="9">
        <f>IF(AND(D404&lt;&gt;"",H404&lt;&gt;""),ROUND(D404/H404,3),"")</f>
        <v/>
      </c>
      <c r="L404" s="9">
        <f>IF(AND(K404&lt;&gt;"",I404&lt;&gt;""),ROUND(K404/(I404/60),2),"")</f>
        <v/>
      </c>
      <c r="M404" s="9">
        <f>IF(AND(K404&lt;&gt;"",L404&lt;&gt;""),ROUND(K404*L404,3),"")</f>
        <v/>
      </c>
      <c r="N404" s="9" t="n"/>
      <c r="O404" s="9" t="n"/>
      <c r="P404" s="9" t="n"/>
      <c r="Q404" s="9" t="n"/>
      <c r="R404" s="9" t="n"/>
    </row>
    <row r="405" ht="18" customHeight="1">
      <c r="A405" s="10" t="n"/>
      <c r="B405" s="10" t="n"/>
      <c r="C405" s="10" t="n"/>
      <c r="D405" s="10" t="n"/>
      <c r="E405" s="10" t="n"/>
      <c r="F405" s="10" t="n"/>
      <c r="G405" s="10" t="n"/>
      <c r="H405" s="10" t="n"/>
      <c r="I405" s="10" t="n"/>
      <c r="J405" s="10" t="n"/>
      <c r="K405" s="10">
        <f>IF(AND(D405&lt;&gt;"",H405&lt;&gt;""),ROUND(D405/H405,3),"")</f>
        <v/>
      </c>
      <c r="L405" s="10">
        <f>IF(AND(K405&lt;&gt;"",I405&lt;&gt;""),ROUND(K405/(I405/60),2),"")</f>
        <v/>
      </c>
      <c r="M405" s="10">
        <f>IF(AND(K405&lt;&gt;"",L405&lt;&gt;""),ROUND(K405*L405,3),"")</f>
        <v/>
      </c>
      <c r="N405" s="10" t="n"/>
      <c r="O405" s="10" t="n"/>
      <c r="P405" s="10" t="n"/>
      <c r="Q405" s="10" t="n"/>
      <c r="R405" s="10" t="n"/>
    </row>
    <row r="406" ht="18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>
        <f>IF(AND(D406&lt;&gt;"",H406&lt;&gt;""),ROUND(D406/H406,3),"")</f>
        <v/>
      </c>
      <c r="L406" s="9">
        <f>IF(AND(K406&lt;&gt;"",I406&lt;&gt;""),ROUND(K406/(I406/60),2),"")</f>
        <v/>
      </c>
      <c r="M406" s="9">
        <f>IF(AND(K406&lt;&gt;"",L406&lt;&gt;""),ROUND(K406*L406,3),"")</f>
        <v/>
      </c>
      <c r="N406" s="9" t="n"/>
      <c r="O406" s="9" t="n"/>
      <c r="P406" s="9" t="n"/>
      <c r="Q406" s="9" t="n"/>
      <c r="R406" s="9" t="n"/>
    </row>
    <row r="407" ht="18" customHeight="1">
      <c r="A407" s="10" t="n"/>
      <c r="B407" s="10" t="n"/>
      <c r="C407" s="10" t="n"/>
      <c r="D407" s="10" t="n"/>
      <c r="E407" s="10" t="n"/>
      <c r="F407" s="10" t="n"/>
      <c r="G407" s="10" t="n"/>
      <c r="H407" s="10" t="n"/>
      <c r="I407" s="10" t="n"/>
      <c r="J407" s="10" t="n"/>
      <c r="K407" s="10">
        <f>IF(AND(D407&lt;&gt;"",H407&lt;&gt;""),ROUND(D407/H407,3),"")</f>
        <v/>
      </c>
      <c r="L407" s="10">
        <f>IF(AND(K407&lt;&gt;"",I407&lt;&gt;""),ROUND(K407/(I407/60),2),"")</f>
        <v/>
      </c>
      <c r="M407" s="10">
        <f>IF(AND(K407&lt;&gt;"",L407&lt;&gt;""),ROUND(K407*L407,3),"")</f>
        <v/>
      </c>
      <c r="N407" s="10" t="n"/>
      <c r="O407" s="10" t="n"/>
      <c r="P407" s="10" t="n"/>
      <c r="Q407" s="10" t="n"/>
      <c r="R407" s="10" t="n"/>
    </row>
    <row r="408" ht="18" customHeight="1">
      <c r="A408" s="9" t="n"/>
      <c r="B408" s="9" t="n"/>
      <c r="C408" s="9" t="n"/>
      <c r="D408" s="9" t="n"/>
      <c r="E408" s="9" t="n"/>
      <c r="F408" s="9" t="n"/>
      <c r="G408" s="9" t="n"/>
      <c r="H408" s="9" t="n"/>
      <c r="I408" s="9" t="n"/>
      <c r="J408" s="9" t="n"/>
      <c r="K408" s="9">
        <f>IF(AND(D408&lt;&gt;"",H408&lt;&gt;""),ROUND(D408/H408,3),"")</f>
        <v/>
      </c>
      <c r="L408" s="9">
        <f>IF(AND(K408&lt;&gt;"",I408&lt;&gt;""),ROUND(K408/(I408/60),2),"")</f>
        <v/>
      </c>
      <c r="M408" s="9">
        <f>IF(AND(K408&lt;&gt;"",L408&lt;&gt;""),ROUND(K408*L408,3),"")</f>
        <v/>
      </c>
      <c r="N408" s="9" t="n"/>
      <c r="O408" s="9" t="n"/>
      <c r="P408" s="9" t="n"/>
      <c r="Q408" s="9" t="n"/>
      <c r="R408" s="9" t="n"/>
    </row>
    <row r="409" ht="18" customHeight="1">
      <c r="A409" s="10" t="n"/>
      <c r="B409" s="10" t="n"/>
      <c r="C409" s="10" t="n"/>
      <c r="D409" s="10" t="n"/>
      <c r="E409" s="10" t="n"/>
      <c r="F409" s="10" t="n"/>
      <c r="G409" s="10" t="n"/>
      <c r="H409" s="10" t="n"/>
      <c r="I409" s="10" t="n"/>
      <c r="J409" s="10" t="n"/>
      <c r="K409" s="10">
        <f>IF(AND(D409&lt;&gt;"",H409&lt;&gt;""),ROUND(D409/H409,3),"")</f>
        <v/>
      </c>
      <c r="L409" s="10">
        <f>IF(AND(K409&lt;&gt;"",I409&lt;&gt;""),ROUND(K409/(I409/60),2),"")</f>
        <v/>
      </c>
      <c r="M409" s="10">
        <f>IF(AND(K409&lt;&gt;"",L409&lt;&gt;""),ROUND(K409*L409,3),"")</f>
        <v/>
      </c>
      <c r="N409" s="10" t="n"/>
      <c r="O409" s="10" t="n"/>
      <c r="P409" s="10" t="n"/>
      <c r="Q409" s="10" t="n"/>
      <c r="R409" s="10" t="n"/>
    </row>
    <row r="410" ht="18" customHeight="1">
      <c r="A410" s="9" t="n"/>
      <c r="B410" s="9" t="n"/>
      <c r="C410" s="9" t="n"/>
      <c r="D410" s="9" t="n"/>
      <c r="E410" s="9" t="n"/>
      <c r="F410" s="9" t="n"/>
      <c r="G410" s="9" t="n"/>
      <c r="H410" s="9" t="n"/>
      <c r="I410" s="9" t="n"/>
      <c r="J410" s="9" t="n"/>
      <c r="K410" s="9">
        <f>IF(AND(D410&lt;&gt;"",H410&lt;&gt;""),ROUND(D410/H410,3),"")</f>
        <v/>
      </c>
      <c r="L410" s="9">
        <f>IF(AND(K410&lt;&gt;"",I410&lt;&gt;""),ROUND(K410/(I410/60),2),"")</f>
        <v/>
      </c>
      <c r="M410" s="9">
        <f>IF(AND(K410&lt;&gt;"",L410&lt;&gt;""),ROUND(K410*L410,3),"")</f>
        <v/>
      </c>
      <c r="N410" s="9" t="n"/>
      <c r="O410" s="9" t="n"/>
      <c r="P410" s="9" t="n"/>
      <c r="Q410" s="9" t="n"/>
      <c r="R410" s="9" t="n"/>
    </row>
    <row r="411" ht="18" customHeight="1">
      <c r="A411" s="10" t="n"/>
      <c r="B411" s="10" t="n"/>
      <c r="C411" s="10" t="n"/>
      <c r="D411" s="10" t="n"/>
      <c r="E411" s="10" t="n"/>
      <c r="F411" s="10" t="n"/>
      <c r="G411" s="10" t="n"/>
      <c r="H411" s="10" t="n"/>
      <c r="I411" s="10" t="n"/>
      <c r="J411" s="10" t="n"/>
      <c r="K411" s="10">
        <f>IF(AND(D411&lt;&gt;"",H411&lt;&gt;""),ROUND(D411/H411,3),"")</f>
        <v/>
      </c>
      <c r="L411" s="10">
        <f>IF(AND(K411&lt;&gt;"",I411&lt;&gt;""),ROUND(K411/(I411/60),2),"")</f>
        <v/>
      </c>
      <c r="M411" s="10">
        <f>IF(AND(K411&lt;&gt;"",L411&lt;&gt;""),ROUND(K411*L411,3),"")</f>
        <v/>
      </c>
      <c r="N411" s="10" t="n"/>
      <c r="O411" s="10" t="n"/>
      <c r="P411" s="10" t="n"/>
      <c r="Q411" s="10" t="n"/>
      <c r="R411" s="10" t="n"/>
    </row>
    <row r="412" ht="18" customHeight="1">
      <c r="A412" s="9" t="n"/>
      <c r="B412" s="9" t="n"/>
      <c r="C412" s="9" t="n"/>
      <c r="D412" s="9" t="n"/>
      <c r="E412" s="9" t="n"/>
      <c r="F412" s="9" t="n"/>
      <c r="G412" s="9" t="n"/>
      <c r="H412" s="9" t="n"/>
      <c r="I412" s="9" t="n"/>
      <c r="J412" s="9" t="n"/>
      <c r="K412" s="9">
        <f>IF(AND(D412&lt;&gt;"",H412&lt;&gt;""),ROUND(D412/H412,3),"")</f>
        <v/>
      </c>
      <c r="L412" s="9">
        <f>IF(AND(K412&lt;&gt;"",I412&lt;&gt;""),ROUND(K412/(I412/60),2),"")</f>
        <v/>
      </c>
      <c r="M412" s="9">
        <f>IF(AND(K412&lt;&gt;"",L412&lt;&gt;""),ROUND(K412*L412,3),"")</f>
        <v/>
      </c>
      <c r="N412" s="9" t="n"/>
      <c r="O412" s="9" t="n"/>
      <c r="P412" s="9" t="n"/>
      <c r="Q412" s="9" t="n"/>
      <c r="R412" s="9" t="n"/>
    </row>
    <row r="413" ht="18" customHeight="1">
      <c r="A413" s="10" t="n"/>
      <c r="B413" s="10" t="n"/>
      <c r="C413" s="10" t="n"/>
      <c r="D413" s="10" t="n"/>
      <c r="E413" s="10" t="n"/>
      <c r="F413" s="10" t="n"/>
      <c r="G413" s="10" t="n"/>
      <c r="H413" s="10" t="n"/>
      <c r="I413" s="10" t="n"/>
      <c r="J413" s="10" t="n"/>
      <c r="K413" s="10">
        <f>IF(AND(D413&lt;&gt;"",H413&lt;&gt;""),ROUND(D413/H413,3),"")</f>
        <v/>
      </c>
      <c r="L413" s="10">
        <f>IF(AND(K413&lt;&gt;"",I413&lt;&gt;""),ROUND(K413/(I413/60),2),"")</f>
        <v/>
      </c>
      <c r="M413" s="10">
        <f>IF(AND(K413&lt;&gt;"",L413&lt;&gt;""),ROUND(K413*L413,3),"")</f>
        <v/>
      </c>
      <c r="N413" s="10" t="n"/>
      <c r="O413" s="10" t="n"/>
      <c r="P413" s="10" t="n"/>
      <c r="Q413" s="10" t="n"/>
      <c r="R413" s="10" t="n"/>
    </row>
    <row r="414" ht="18" customHeight="1">
      <c r="A414" s="9" t="n"/>
      <c r="B414" s="9" t="n"/>
      <c r="C414" s="9" t="n"/>
      <c r="D414" s="9" t="n"/>
      <c r="E414" s="9" t="n"/>
      <c r="F414" s="9" t="n"/>
      <c r="G414" s="9" t="n"/>
      <c r="H414" s="9" t="n"/>
      <c r="I414" s="9" t="n"/>
      <c r="J414" s="9" t="n"/>
      <c r="K414" s="9">
        <f>IF(AND(D414&lt;&gt;"",H414&lt;&gt;""),ROUND(D414/H414,3),"")</f>
        <v/>
      </c>
      <c r="L414" s="9">
        <f>IF(AND(K414&lt;&gt;"",I414&lt;&gt;""),ROUND(K414/(I414/60),2),"")</f>
        <v/>
      </c>
      <c r="M414" s="9">
        <f>IF(AND(K414&lt;&gt;"",L414&lt;&gt;""),ROUND(K414*L414,3),"")</f>
        <v/>
      </c>
      <c r="N414" s="9" t="n"/>
      <c r="O414" s="9" t="n"/>
      <c r="P414" s="9" t="n"/>
      <c r="Q414" s="9" t="n"/>
      <c r="R414" s="9" t="n"/>
    </row>
    <row r="415" ht="18" customHeight="1">
      <c r="A415" s="10" t="n"/>
      <c r="B415" s="10" t="n"/>
      <c r="C415" s="10" t="n"/>
      <c r="D415" s="10" t="n"/>
      <c r="E415" s="10" t="n"/>
      <c r="F415" s="10" t="n"/>
      <c r="G415" s="10" t="n"/>
      <c r="H415" s="10" t="n"/>
      <c r="I415" s="10" t="n"/>
      <c r="J415" s="10" t="n"/>
      <c r="K415" s="10">
        <f>IF(AND(D415&lt;&gt;"",H415&lt;&gt;""),ROUND(D415/H415,3),"")</f>
        <v/>
      </c>
      <c r="L415" s="10">
        <f>IF(AND(K415&lt;&gt;"",I415&lt;&gt;""),ROUND(K415/(I415/60),2),"")</f>
        <v/>
      </c>
      <c r="M415" s="10">
        <f>IF(AND(K415&lt;&gt;"",L415&lt;&gt;""),ROUND(K415*L415,3),"")</f>
        <v/>
      </c>
      <c r="N415" s="10" t="n"/>
      <c r="O415" s="10" t="n"/>
      <c r="P415" s="10" t="n"/>
      <c r="Q415" s="10" t="n"/>
      <c r="R415" s="10" t="n"/>
    </row>
    <row r="416" ht="18" customHeight="1">
      <c r="A416" s="9" t="n"/>
      <c r="B416" s="9" t="n"/>
      <c r="C416" s="9" t="n"/>
      <c r="D416" s="9" t="n"/>
      <c r="E416" s="9" t="n"/>
      <c r="F416" s="9" t="n"/>
      <c r="G416" s="9" t="n"/>
      <c r="H416" s="9" t="n"/>
      <c r="I416" s="9" t="n"/>
      <c r="J416" s="9" t="n"/>
      <c r="K416" s="9">
        <f>IF(AND(D416&lt;&gt;"",H416&lt;&gt;""),ROUND(D416/H416,3),"")</f>
        <v/>
      </c>
      <c r="L416" s="9">
        <f>IF(AND(K416&lt;&gt;"",I416&lt;&gt;""),ROUND(K416/(I416/60),2),"")</f>
        <v/>
      </c>
      <c r="M416" s="9">
        <f>IF(AND(K416&lt;&gt;"",L416&lt;&gt;""),ROUND(K416*L416,3),"")</f>
        <v/>
      </c>
      <c r="N416" s="9" t="n"/>
      <c r="O416" s="9" t="n"/>
      <c r="P416" s="9" t="n"/>
      <c r="Q416" s="9" t="n"/>
      <c r="R416" s="9" t="n"/>
    </row>
    <row r="417" ht="18" customHeight="1">
      <c r="A417" s="10" t="n"/>
      <c r="B417" s="10" t="n"/>
      <c r="C417" s="10" t="n"/>
      <c r="D417" s="10" t="n"/>
      <c r="E417" s="10" t="n"/>
      <c r="F417" s="10" t="n"/>
      <c r="G417" s="10" t="n"/>
      <c r="H417" s="10" t="n"/>
      <c r="I417" s="10" t="n"/>
      <c r="J417" s="10" t="n"/>
      <c r="K417" s="10">
        <f>IF(AND(D417&lt;&gt;"",H417&lt;&gt;""),ROUND(D417/H417,3),"")</f>
        <v/>
      </c>
      <c r="L417" s="10">
        <f>IF(AND(K417&lt;&gt;"",I417&lt;&gt;""),ROUND(K417/(I417/60),2),"")</f>
        <v/>
      </c>
      <c r="M417" s="10">
        <f>IF(AND(K417&lt;&gt;"",L417&lt;&gt;""),ROUND(K417*L417,3),"")</f>
        <v/>
      </c>
      <c r="N417" s="10" t="n"/>
      <c r="O417" s="10" t="n"/>
      <c r="P417" s="10" t="n"/>
      <c r="Q417" s="10" t="n"/>
      <c r="R417" s="10" t="n"/>
    </row>
    <row r="418" ht="18" customHeight="1">
      <c r="A418" s="9" t="n"/>
      <c r="B418" s="9" t="n"/>
      <c r="C418" s="9" t="n"/>
      <c r="D418" s="9" t="n"/>
      <c r="E418" s="9" t="n"/>
      <c r="F418" s="9" t="n"/>
      <c r="G418" s="9" t="n"/>
      <c r="H418" s="9" t="n"/>
      <c r="I418" s="9" t="n"/>
      <c r="J418" s="9" t="n"/>
      <c r="K418" s="9">
        <f>IF(AND(D418&lt;&gt;"",H418&lt;&gt;""),ROUND(D418/H418,3),"")</f>
        <v/>
      </c>
      <c r="L418" s="9">
        <f>IF(AND(K418&lt;&gt;"",I418&lt;&gt;""),ROUND(K418/(I418/60),2),"")</f>
        <v/>
      </c>
      <c r="M418" s="9">
        <f>IF(AND(K418&lt;&gt;"",L418&lt;&gt;""),ROUND(K418*L418,3),"")</f>
        <v/>
      </c>
      <c r="N418" s="9" t="n"/>
      <c r="O418" s="9" t="n"/>
      <c r="P418" s="9" t="n"/>
      <c r="Q418" s="9" t="n"/>
      <c r="R418" s="9" t="n"/>
    </row>
    <row r="419" ht="18" customHeight="1">
      <c r="A419" s="10" t="n"/>
      <c r="B419" s="10" t="n"/>
      <c r="C419" s="10" t="n"/>
      <c r="D419" s="10" t="n"/>
      <c r="E419" s="10" t="n"/>
      <c r="F419" s="10" t="n"/>
      <c r="G419" s="10" t="n"/>
      <c r="H419" s="10" t="n"/>
      <c r="I419" s="10" t="n"/>
      <c r="J419" s="10" t="n"/>
      <c r="K419" s="10">
        <f>IF(AND(D419&lt;&gt;"",H419&lt;&gt;""),ROUND(D419/H419,3),"")</f>
        <v/>
      </c>
      <c r="L419" s="10">
        <f>IF(AND(K419&lt;&gt;"",I419&lt;&gt;""),ROUND(K419/(I419/60),2),"")</f>
        <v/>
      </c>
      <c r="M419" s="10">
        <f>IF(AND(K419&lt;&gt;"",L419&lt;&gt;""),ROUND(K419*L419,3),"")</f>
        <v/>
      </c>
      <c r="N419" s="10" t="n"/>
      <c r="O419" s="10" t="n"/>
      <c r="P419" s="10" t="n"/>
      <c r="Q419" s="10" t="n"/>
      <c r="R419" s="10" t="n"/>
    </row>
    <row r="420" ht="18" customHeight="1">
      <c r="A420" s="9" t="n"/>
      <c r="B420" s="9" t="n"/>
      <c r="C420" s="9" t="n"/>
      <c r="D420" s="9" t="n"/>
      <c r="E420" s="9" t="n"/>
      <c r="F420" s="9" t="n"/>
      <c r="G420" s="9" t="n"/>
      <c r="H420" s="9" t="n"/>
      <c r="I420" s="9" t="n"/>
      <c r="J420" s="9" t="n"/>
      <c r="K420" s="9">
        <f>IF(AND(D420&lt;&gt;"",H420&lt;&gt;""),ROUND(D420/H420,3),"")</f>
        <v/>
      </c>
      <c r="L420" s="9">
        <f>IF(AND(K420&lt;&gt;"",I420&lt;&gt;""),ROUND(K420/(I420/60),2),"")</f>
        <v/>
      </c>
      <c r="M420" s="9">
        <f>IF(AND(K420&lt;&gt;"",L420&lt;&gt;""),ROUND(K420*L420,3),"")</f>
        <v/>
      </c>
      <c r="N420" s="9" t="n"/>
      <c r="O420" s="9" t="n"/>
      <c r="P420" s="9" t="n"/>
      <c r="Q420" s="9" t="n"/>
      <c r="R420" s="9" t="n"/>
    </row>
    <row r="421" ht="18" customHeight="1">
      <c r="A421" s="10" t="n"/>
      <c r="B421" s="10" t="n"/>
      <c r="C421" s="10" t="n"/>
      <c r="D421" s="10" t="n"/>
      <c r="E421" s="10" t="n"/>
      <c r="F421" s="10" t="n"/>
      <c r="G421" s="10" t="n"/>
      <c r="H421" s="10" t="n"/>
      <c r="I421" s="10" t="n"/>
      <c r="J421" s="10" t="n"/>
      <c r="K421" s="10">
        <f>IF(AND(D421&lt;&gt;"",H421&lt;&gt;""),ROUND(D421/H421,3),"")</f>
        <v/>
      </c>
      <c r="L421" s="10">
        <f>IF(AND(K421&lt;&gt;"",I421&lt;&gt;""),ROUND(K421/(I421/60),2),"")</f>
        <v/>
      </c>
      <c r="M421" s="10">
        <f>IF(AND(K421&lt;&gt;"",L421&lt;&gt;""),ROUND(K421*L421,3),"")</f>
        <v/>
      </c>
      <c r="N421" s="10" t="n"/>
      <c r="O421" s="10" t="n"/>
      <c r="P421" s="10" t="n"/>
      <c r="Q421" s="10" t="n"/>
      <c r="R421" s="10" t="n"/>
    </row>
    <row r="422" ht="18" customHeight="1">
      <c r="A422" s="9" t="n"/>
      <c r="B422" s="9" t="n"/>
      <c r="C422" s="9" t="n"/>
      <c r="D422" s="9" t="n"/>
      <c r="E422" s="9" t="n"/>
      <c r="F422" s="9" t="n"/>
      <c r="G422" s="9" t="n"/>
      <c r="H422" s="9" t="n"/>
      <c r="I422" s="9" t="n"/>
      <c r="J422" s="9" t="n"/>
      <c r="K422" s="9">
        <f>IF(AND(D422&lt;&gt;"",H422&lt;&gt;""),ROUND(D422/H422,3),"")</f>
        <v/>
      </c>
      <c r="L422" s="9">
        <f>IF(AND(K422&lt;&gt;"",I422&lt;&gt;""),ROUND(K422/(I422/60),2),"")</f>
        <v/>
      </c>
      <c r="M422" s="9">
        <f>IF(AND(K422&lt;&gt;"",L422&lt;&gt;""),ROUND(K422*L422,3),"")</f>
        <v/>
      </c>
      <c r="N422" s="9" t="n"/>
      <c r="O422" s="9" t="n"/>
      <c r="P422" s="9" t="n"/>
      <c r="Q422" s="9" t="n"/>
      <c r="R422" s="9" t="n"/>
    </row>
    <row r="423" ht="18" customHeight="1">
      <c r="A423" s="10" t="n"/>
      <c r="B423" s="10" t="n"/>
      <c r="C423" s="10" t="n"/>
      <c r="D423" s="10" t="n"/>
      <c r="E423" s="10" t="n"/>
      <c r="F423" s="10" t="n"/>
      <c r="G423" s="10" t="n"/>
      <c r="H423" s="10" t="n"/>
      <c r="I423" s="10" t="n"/>
      <c r="J423" s="10" t="n"/>
      <c r="K423" s="10">
        <f>IF(AND(D423&lt;&gt;"",H423&lt;&gt;""),ROUND(D423/H423,3),"")</f>
        <v/>
      </c>
      <c r="L423" s="10">
        <f>IF(AND(K423&lt;&gt;"",I423&lt;&gt;""),ROUND(K423/(I423/60),2),"")</f>
        <v/>
      </c>
      <c r="M423" s="10">
        <f>IF(AND(K423&lt;&gt;"",L423&lt;&gt;""),ROUND(K423*L423,3),"")</f>
        <v/>
      </c>
      <c r="N423" s="10" t="n"/>
      <c r="O423" s="10" t="n"/>
      <c r="P423" s="10" t="n"/>
      <c r="Q423" s="10" t="n"/>
      <c r="R423" s="10" t="n"/>
    </row>
    <row r="424" ht="18" customHeight="1">
      <c r="A424" s="9" t="n"/>
      <c r="B424" s="9" t="n"/>
      <c r="C424" s="9" t="n"/>
      <c r="D424" s="9" t="n"/>
      <c r="E424" s="9" t="n"/>
      <c r="F424" s="9" t="n"/>
      <c r="G424" s="9" t="n"/>
      <c r="H424" s="9" t="n"/>
      <c r="I424" s="9" t="n"/>
      <c r="J424" s="9" t="n"/>
      <c r="K424" s="9">
        <f>IF(AND(D424&lt;&gt;"",H424&lt;&gt;""),ROUND(D424/H424,3),"")</f>
        <v/>
      </c>
      <c r="L424" s="9">
        <f>IF(AND(K424&lt;&gt;"",I424&lt;&gt;""),ROUND(K424/(I424/60),2),"")</f>
        <v/>
      </c>
      <c r="M424" s="9">
        <f>IF(AND(K424&lt;&gt;"",L424&lt;&gt;""),ROUND(K424*L424,3),"")</f>
        <v/>
      </c>
      <c r="N424" s="9" t="n"/>
      <c r="O424" s="9" t="n"/>
      <c r="P424" s="9" t="n"/>
      <c r="Q424" s="9" t="n"/>
      <c r="R424" s="9" t="n"/>
    </row>
    <row r="425" ht="18" customHeight="1">
      <c r="A425" s="10" t="n"/>
      <c r="B425" s="10" t="n"/>
      <c r="C425" s="10" t="n"/>
      <c r="D425" s="10" t="n"/>
      <c r="E425" s="10" t="n"/>
      <c r="F425" s="10" t="n"/>
      <c r="G425" s="10" t="n"/>
      <c r="H425" s="10" t="n"/>
      <c r="I425" s="10" t="n"/>
      <c r="J425" s="10" t="n"/>
      <c r="K425" s="10">
        <f>IF(AND(D425&lt;&gt;"",H425&lt;&gt;""),ROUND(D425/H425,3),"")</f>
        <v/>
      </c>
      <c r="L425" s="10">
        <f>IF(AND(K425&lt;&gt;"",I425&lt;&gt;""),ROUND(K425/(I425/60),2),"")</f>
        <v/>
      </c>
      <c r="M425" s="10">
        <f>IF(AND(K425&lt;&gt;"",L425&lt;&gt;""),ROUND(K425*L425,3),"")</f>
        <v/>
      </c>
      <c r="N425" s="10" t="n"/>
      <c r="O425" s="10" t="n"/>
      <c r="P425" s="10" t="n"/>
      <c r="Q425" s="10" t="n"/>
      <c r="R425" s="10" t="n"/>
    </row>
    <row r="426" ht="18" customHeight="1">
      <c r="A426" s="9" t="n"/>
      <c r="B426" s="9" t="n"/>
      <c r="C426" s="9" t="n"/>
      <c r="D426" s="9" t="n"/>
      <c r="E426" s="9" t="n"/>
      <c r="F426" s="9" t="n"/>
      <c r="G426" s="9" t="n"/>
      <c r="H426" s="9" t="n"/>
      <c r="I426" s="9" t="n"/>
      <c r="J426" s="9" t="n"/>
      <c r="K426" s="9">
        <f>IF(AND(D426&lt;&gt;"",H426&lt;&gt;""),ROUND(D426/H426,3),"")</f>
        <v/>
      </c>
      <c r="L426" s="9">
        <f>IF(AND(K426&lt;&gt;"",I426&lt;&gt;""),ROUND(K426/(I426/60),2),"")</f>
        <v/>
      </c>
      <c r="M426" s="9">
        <f>IF(AND(K426&lt;&gt;"",L426&lt;&gt;""),ROUND(K426*L426,3),"")</f>
        <v/>
      </c>
      <c r="N426" s="9" t="n"/>
      <c r="O426" s="9" t="n"/>
      <c r="P426" s="9" t="n"/>
      <c r="Q426" s="9" t="n"/>
      <c r="R426" s="9" t="n"/>
    </row>
    <row r="427" ht="18" customHeight="1">
      <c r="A427" s="10" t="n"/>
      <c r="B427" s="10" t="n"/>
      <c r="C427" s="10" t="n"/>
      <c r="D427" s="10" t="n"/>
      <c r="E427" s="10" t="n"/>
      <c r="F427" s="10" t="n"/>
      <c r="G427" s="10" t="n"/>
      <c r="H427" s="10" t="n"/>
      <c r="I427" s="10" t="n"/>
      <c r="J427" s="10" t="n"/>
      <c r="K427" s="10">
        <f>IF(AND(D427&lt;&gt;"",H427&lt;&gt;""),ROUND(D427/H427,3),"")</f>
        <v/>
      </c>
      <c r="L427" s="10">
        <f>IF(AND(K427&lt;&gt;"",I427&lt;&gt;""),ROUND(K427/(I427/60),2),"")</f>
        <v/>
      </c>
      <c r="M427" s="10">
        <f>IF(AND(K427&lt;&gt;"",L427&lt;&gt;""),ROUND(K427*L427,3),"")</f>
        <v/>
      </c>
      <c r="N427" s="10" t="n"/>
      <c r="O427" s="10" t="n"/>
      <c r="P427" s="10" t="n"/>
      <c r="Q427" s="10" t="n"/>
      <c r="R427" s="10" t="n"/>
    </row>
    <row r="428" ht="18" customHeight="1">
      <c r="A428" s="9" t="n"/>
      <c r="B428" s="9" t="n"/>
      <c r="C428" s="9" t="n"/>
      <c r="D428" s="9" t="n"/>
      <c r="E428" s="9" t="n"/>
      <c r="F428" s="9" t="n"/>
      <c r="G428" s="9" t="n"/>
      <c r="H428" s="9" t="n"/>
      <c r="I428" s="9" t="n"/>
      <c r="J428" s="9" t="n"/>
      <c r="K428" s="9">
        <f>IF(AND(D428&lt;&gt;"",H428&lt;&gt;""),ROUND(D428/H428,3),"")</f>
        <v/>
      </c>
      <c r="L428" s="9">
        <f>IF(AND(K428&lt;&gt;"",I428&lt;&gt;""),ROUND(K428/(I428/60),2),"")</f>
        <v/>
      </c>
      <c r="M428" s="9">
        <f>IF(AND(K428&lt;&gt;"",L428&lt;&gt;""),ROUND(K428*L428,3),"")</f>
        <v/>
      </c>
      <c r="N428" s="9" t="n"/>
      <c r="O428" s="9" t="n"/>
      <c r="P428" s="9" t="n"/>
      <c r="Q428" s="9" t="n"/>
      <c r="R428" s="9" t="n"/>
    </row>
    <row r="429" ht="18" customHeight="1">
      <c r="A429" s="10" t="n"/>
      <c r="B429" s="10" t="n"/>
      <c r="C429" s="10" t="n"/>
      <c r="D429" s="10" t="n"/>
      <c r="E429" s="10" t="n"/>
      <c r="F429" s="10" t="n"/>
      <c r="G429" s="10" t="n"/>
      <c r="H429" s="10" t="n"/>
      <c r="I429" s="10" t="n"/>
      <c r="J429" s="10" t="n"/>
      <c r="K429" s="10">
        <f>IF(AND(D429&lt;&gt;"",H429&lt;&gt;""),ROUND(D429/H429,3),"")</f>
        <v/>
      </c>
      <c r="L429" s="10">
        <f>IF(AND(K429&lt;&gt;"",I429&lt;&gt;""),ROUND(K429/(I429/60),2),"")</f>
        <v/>
      </c>
      <c r="M429" s="10">
        <f>IF(AND(K429&lt;&gt;"",L429&lt;&gt;""),ROUND(K429*L429,3),"")</f>
        <v/>
      </c>
      <c r="N429" s="10" t="n"/>
      <c r="O429" s="10" t="n"/>
      <c r="P429" s="10" t="n"/>
      <c r="Q429" s="10" t="n"/>
      <c r="R429" s="10" t="n"/>
    </row>
    <row r="430" ht="18" customHeight="1">
      <c r="A430" s="9" t="n"/>
      <c r="B430" s="9" t="n"/>
      <c r="C430" s="9" t="n"/>
      <c r="D430" s="9" t="n"/>
      <c r="E430" s="9" t="n"/>
      <c r="F430" s="9" t="n"/>
      <c r="G430" s="9" t="n"/>
      <c r="H430" s="9" t="n"/>
      <c r="I430" s="9" t="n"/>
      <c r="J430" s="9" t="n"/>
      <c r="K430" s="9">
        <f>IF(AND(D430&lt;&gt;"",H430&lt;&gt;""),ROUND(D430/H430,3),"")</f>
        <v/>
      </c>
      <c r="L430" s="9">
        <f>IF(AND(K430&lt;&gt;"",I430&lt;&gt;""),ROUND(K430/(I430/60),2),"")</f>
        <v/>
      </c>
      <c r="M430" s="9">
        <f>IF(AND(K430&lt;&gt;"",L430&lt;&gt;""),ROUND(K430*L430,3),"")</f>
        <v/>
      </c>
      <c r="N430" s="9" t="n"/>
      <c r="O430" s="9" t="n"/>
      <c r="P430" s="9" t="n"/>
      <c r="Q430" s="9" t="n"/>
      <c r="R430" s="9" t="n"/>
    </row>
    <row r="431" ht="18" customHeight="1">
      <c r="A431" s="10" t="n"/>
      <c r="B431" s="10" t="n"/>
      <c r="C431" s="10" t="n"/>
      <c r="D431" s="10" t="n"/>
      <c r="E431" s="10" t="n"/>
      <c r="F431" s="10" t="n"/>
      <c r="G431" s="10" t="n"/>
      <c r="H431" s="10" t="n"/>
      <c r="I431" s="10" t="n"/>
      <c r="J431" s="10" t="n"/>
      <c r="K431" s="10">
        <f>IF(AND(D431&lt;&gt;"",H431&lt;&gt;""),ROUND(D431/H431,3),"")</f>
        <v/>
      </c>
      <c r="L431" s="10">
        <f>IF(AND(K431&lt;&gt;"",I431&lt;&gt;""),ROUND(K431/(I431/60),2),"")</f>
        <v/>
      </c>
      <c r="M431" s="10">
        <f>IF(AND(K431&lt;&gt;"",L431&lt;&gt;""),ROUND(K431*L431,3),"")</f>
        <v/>
      </c>
      <c r="N431" s="10" t="n"/>
      <c r="O431" s="10" t="n"/>
      <c r="P431" s="10" t="n"/>
      <c r="Q431" s="10" t="n"/>
      <c r="R431" s="10" t="n"/>
    </row>
    <row r="432" ht="18" customHeight="1">
      <c r="A432" s="9" t="n"/>
      <c r="B432" s="9" t="n"/>
      <c r="C432" s="9" t="n"/>
      <c r="D432" s="9" t="n"/>
      <c r="E432" s="9" t="n"/>
      <c r="F432" s="9" t="n"/>
      <c r="G432" s="9" t="n"/>
      <c r="H432" s="9" t="n"/>
      <c r="I432" s="9" t="n"/>
      <c r="J432" s="9" t="n"/>
      <c r="K432" s="9">
        <f>IF(AND(D432&lt;&gt;"",H432&lt;&gt;""),ROUND(D432/H432,3),"")</f>
        <v/>
      </c>
      <c r="L432" s="9">
        <f>IF(AND(K432&lt;&gt;"",I432&lt;&gt;""),ROUND(K432/(I432/60),2),"")</f>
        <v/>
      </c>
      <c r="M432" s="9">
        <f>IF(AND(K432&lt;&gt;"",L432&lt;&gt;""),ROUND(K432*L432,3),"")</f>
        <v/>
      </c>
      <c r="N432" s="9" t="n"/>
      <c r="O432" s="9" t="n"/>
      <c r="P432" s="9" t="n"/>
      <c r="Q432" s="9" t="n"/>
      <c r="R432" s="9" t="n"/>
    </row>
    <row r="433" ht="18" customHeight="1">
      <c r="A433" s="10" t="n"/>
      <c r="B433" s="10" t="n"/>
      <c r="C433" s="10" t="n"/>
      <c r="D433" s="10" t="n"/>
      <c r="E433" s="10" t="n"/>
      <c r="F433" s="10" t="n"/>
      <c r="G433" s="10" t="n"/>
      <c r="H433" s="10" t="n"/>
      <c r="I433" s="10" t="n"/>
      <c r="J433" s="10" t="n"/>
      <c r="K433" s="10">
        <f>IF(AND(D433&lt;&gt;"",H433&lt;&gt;""),ROUND(D433/H433,3),"")</f>
        <v/>
      </c>
      <c r="L433" s="10">
        <f>IF(AND(K433&lt;&gt;"",I433&lt;&gt;""),ROUND(K433/(I433/60),2),"")</f>
        <v/>
      </c>
      <c r="M433" s="10">
        <f>IF(AND(K433&lt;&gt;"",L433&lt;&gt;""),ROUND(K433*L433,3),"")</f>
        <v/>
      </c>
      <c r="N433" s="10" t="n"/>
      <c r="O433" s="10" t="n"/>
      <c r="P433" s="10" t="n"/>
      <c r="Q433" s="10" t="n"/>
      <c r="R433" s="10" t="n"/>
    </row>
    <row r="434" ht="18" customHeight="1">
      <c r="A434" s="9" t="n"/>
      <c r="B434" s="9" t="n"/>
      <c r="C434" s="9" t="n"/>
      <c r="D434" s="9" t="n"/>
      <c r="E434" s="9" t="n"/>
      <c r="F434" s="9" t="n"/>
      <c r="G434" s="9" t="n"/>
      <c r="H434" s="9" t="n"/>
      <c r="I434" s="9" t="n"/>
      <c r="J434" s="9" t="n"/>
      <c r="K434" s="9">
        <f>IF(AND(D434&lt;&gt;"",H434&lt;&gt;""),ROUND(D434/H434,3),"")</f>
        <v/>
      </c>
      <c r="L434" s="9">
        <f>IF(AND(K434&lt;&gt;"",I434&lt;&gt;""),ROUND(K434/(I434/60),2),"")</f>
        <v/>
      </c>
      <c r="M434" s="9">
        <f>IF(AND(K434&lt;&gt;"",L434&lt;&gt;""),ROUND(K434*L434,3),"")</f>
        <v/>
      </c>
      <c r="N434" s="9" t="n"/>
      <c r="O434" s="9" t="n"/>
      <c r="P434" s="9" t="n"/>
      <c r="Q434" s="9" t="n"/>
      <c r="R434" s="9" t="n"/>
    </row>
    <row r="435" ht="18" customHeight="1">
      <c r="A435" s="10" t="n"/>
      <c r="B435" s="10" t="n"/>
      <c r="C435" s="10" t="n"/>
      <c r="D435" s="10" t="n"/>
      <c r="E435" s="10" t="n"/>
      <c r="F435" s="10" t="n"/>
      <c r="G435" s="10" t="n"/>
      <c r="H435" s="10" t="n"/>
      <c r="I435" s="10" t="n"/>
      <c r="J435" s="10" t="n"/>
      <c r="K435" s="10">
        <f>IF(AND(D435&lt;&gt;"",H435&lt;&gt;""),ROUND(D435/H435,3),"")</f>
        <v/>
      </c>
      <c r="L435" s="10">
        <f>IF(AND(K435&lt;&gt;"",I435&lt;&gt;""),ROUND(K435/(I435/60),2),"")</f>
        <v/>
      </c>
      <c r="M435" s="10">
        <f>IF(AND(K435&lt;&gt;"",L435&lt;&gt;""),ROUND(K435*L435,3),"")</f>
        <v/>
      </c>
      <c r="N435" s="10" t="n"/>
      <c r="O435" s="10" t="n"/>
      <c r="P435" s="10" t="n"/>
      <c r="Q435" s="10" t="n"/>
      <c r="R435" s="10" t="n"/>
    </row>
    <row r="436" ht="18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>
        <f>IF(AND(D436&lt;&gt;"",H436&lt;&gt;""),ROUND(D436/H436,3),"")</f>
        <v/>
      </c>
      <c r="L436" s="9">
        <f>IF(AND(K436&lt;&gt;"",I436&lt;&gt;""),ROUND(K436/(I436/60),2),"")</f>
        <v/>
      </c>
      <c r="M436" s="9">
        <f>IF(AND(K436&lt;&gt;"",L436&lt;&gt;""),ROUND(K436*L436,3),"")</f>
        <v/>
      </c>
      <c r="N436" s="9" t="n"/>
      <c r="O436" s="9" t="n"/>
      <c r="P436" s="9" t="n"/>
      <c r="Q436" s="9" t="n"/>
      <c r="R436" s="9" t="n"/>
    </row>
    <row r="437" ht="18" customHeight="1">
      <c r="A437" s="10" t="n"/>
      <c r="B437" s="10" t="n"/>
      <c r="C437" s="10" t="n"/>
      <c r="D437" s="10" t="n"/>
      <c r="E437" s="10" t="n"/>
      <c r="F437" s="10" t="n"/>
      <c r="G437" s="10" t="n"/>
      <c r="H437" s="10" t="n"/>
      <c r="I437" s="10" t="n"/>
      <c r="J437" s="10" t="n"/>
      <c r="K437" s="10">
        <f>IF(AND(D437&lt;&gt;"",H437&lt;&gt;""),ROUND(D437/H437,3),"")</f>
        <v/>
      </c>
      <c r="L437" s="10">
        <f>IF(AND(K437&lt;&gt;"",I437&lt;&gt;""),ROUND(K437/(I437/60),2),"")</f>
        <v/>
      </c>
      <c r="M437" s="10">
        <f>IF(AND(K437&lt;&gt;"",L437&lt;&gt;""),ROUND(K437*L437,3),"")</f>
        <v/>
      </c>
      <c r="N437" s="10" t="n"/>
      <c r="O437" s="10" t="n"/>
      <c r="P437" s="10" t="n"/>
      <c r="Q437" s="10" t="n"/>
      <c r="R437" s="10" t="n"/>
    </row>
    <row r="438" ht="18" customHeight="1">
      <c r="A438" s="9" t="n"/>
      <c r="B438" s="9" t="n"/>
      <c r="C438" s="9" t="n"/>
      <c r="D438" s="9" t="n"/>
      <c r="E438" s="9" t="n"/>
      <c r="F438" s="9" t="n"/>
      <c r="G438" s="9" t="n"/>
      <c r="H438" s="9" t="n"/>
      <c r="I438" s="9" t="n"/>
      <c r="J438" s="9" t="n"/>
      <c r="K438" s="9">
        <f>IF(AND(D438&lt;&gt;"",H438&lt;&gt;""),ROUND(D438/H438,3),"")</f>
        <v/>
      </c>
      <c r="L438" s="9">
        <f>IF(AND(K438&lt;&gt;"",I438&lt;&gt;""),ROUND(K438/(I438/60),2),"")</f>
        <v/>
      </c>
      <c r="M438" s="9">
        <f>IF(AND(K438&lt;&gt;"",L438&lt;&gt;""),ROUND(K438*L438,3),"")</f>
        <v/>
      </c>
      <c r="N438" s="9" t="n"/>
      <c r="O438" s="9" t="n"/>
      <c r="P438" s="9" t="n"/>
      <c r="Q438" s="9" t="n"/>
      <c r="R438" s="9" t="n"/>
    </row>
    <row r="439" ht="18" customHeight="1">
      <c r="A439" s="10" t="n"/>
      <c r="B439" s="10" t="n"/>
      <c r="C439" s="10" t="n"/>
      <c r="D439" s="10" t="n"/>
      <c r="E439" s="10" t="n"/>
      <c r="F439" s="10" t="n"/>
      <c r="G439" s="10" t="n"/>
      <c r="H439" s="10" t="n"/>
      <c r="I439" s="10" t="n"/>
      <c r="J439" s="10" t="n"/>
      <c r="K439" s="10">
        <f>IF(AND(D439&lt;&gt;"",H439&lt;&gt;""),ROUND(D439/H439,3),"")</f>
        <v/>
      </c>
      <c r="L439" s="10">
        <f>IF(AND(K439&lt;&gt;"",I439&lt;&gt;""),ROUND(K439/(I439/60),2),"")</f>
        <v/>
      </c>
      <c r="M439" s="10">
        <f>IF(AND(K439&lt;&gt;"",L439&lt;&gt;""),ROUND(K439*L439,3),"")</f>
        <v/>
      </c>
      <c r="N439" s="10" t="n"/>
      <c r="O439" s="10" t="n"/>
      <c r="P439" s="10" t="n"/>
      <c r="Q439" s="10" t="n"/>
      <c r="R439" s="10" t="n"/>
    </row>
    <row r="440" ht="18" customHeight="1">
      <c r="A440" s="9" t="n"/>
      <c r="B440" s="9" t="n"/>
      <c r="C440" s="9" t="n"/>
      <c r="D440" s="9" t="n"/>
      <c r="E440" s="9" t="n"/>
      <c r="F440" s="9" t="n"/>
      <c r="G440" s="9" t="n"/>
      <c r="H440" s="9" t="n"/>
      <c r="I440" s="9" t="n"/>
      <c r="J440" s="9" t="n"/>
      <c r="K440" s="9">
        <f>IF(AND(D440&lt;&gt;"",H440&lt;&gt;""),ROUND(D440/H440,3),"")</f>
        <v/>
      </c>
      <c r="L440" s="9">
        <f>IF(AND(K440&lt;&gt;"",I440&lt;&gt;""),ROUND(K440/(I440/60),2),"")</f>
        <v/>
      </c>
      <c r="M440" s="9">
        <f>IF(AND(K440&lt;&gt;"",L440&lt;&gt;""),ROUND(K440*L440,3),"")</f>
        <v/>
      </c>
      <c r="N440" s="9" t="n"/>
      <c r="O440" s="9" t="n"/>
      <c r="P440" s="9" t="n"/>
      <c r="Q440" s="9" t="n"/>
      <c r="R440" s="9" t="n"/>
    </row>
    <row r="441" ht="18" customHeight="1">
      <c r="A441" s="10" t="n"/>
      <c r="B441" s="10" t="n"/>
      <c r="C441" s="10" t="n"/>
      <c r="D441" s="10" t="n"/>
      <c r="E441" s="10" t="n"/>
      <c r="F441" s="10" t="n"/>
      <c r="G441" s="10" t="n"/>
      <c r="H441" s="10" t="n"/>
      <c r="I441" s="10" t="n"/>
      <c r="J441" s="10" t="n"/>
      <c r="K441" s="10">
        <f>IF(AND(D441&lt;&gt;"",H441&lt;&gt;""),ROUND(D441/H441,3),"")</f>
        <v/>
      </c>
      <c r="L441" s="10">
        <f>IF(AND(K441&lt;&gt;"",I441&lt;&gt;""),ROUND(K441/(I441/60),2),"")</f>
        <v/>
      </c>
      <c r="M441" s="10">
        <f>IF(AND(K441&lt;&gt;"",L441&lt;&gt;""),ROUND(K441*L441,3),"")</f>
        <v/>
      </c>
      <c r="N441" s="10" t="n"/>
      <c r="O441" s="10" t="n"/>
      <c r="P441" s="10" t="n"/>
      <c r="Q441" s="10" t="n"/>
      <c r="R441" s="10" t="n"/>
    </row>
    <row r="442" ht="18" customHeight="1">
      <c r="A442" s="9" t="n"/>
      <c r="B442" s="9" t="n"/>
      <c r="C442" s="9" t="n"/>
      <c r="D442" s="9" t="n"/>
      <c r="E442" s="9" t="n"/>
      <c r="F442" s="9" t="n"/>
      <c r="G442" s="9" t="n"/>
      <c r="H442" s="9" t="n"/>
      <c r="I442" s="9" t="n"/>
      <c r="J442" s="9" t="n"/>
      <c r="K442" s="9">
        <f>IF(AND(D442&lt;&gt;"",H442&lt;&gt;""),ROUND(D442/H442,3),"")</f>
        <v/>
      </c>
      <c r="L442" s="9">
        <f>IF(AND(K442&lt;&gt;"",I442&lt;&gt;""),ROUND(K442/(I442/60),2),"")</f>
        <v/>
      </c>
      <c r="M442" s="9">
        <f>IF(AND(K442&lt;&gt;"",L442&lt;&gt;""),ROUND(K442*L442,3),"")</f>
        <v/>
      </c>
      <c r="N442" s="9" t="n"/>
      <c r="O442" s="9" t="n"/>
      <c r="P442" s="9" t="n"/>
      <c r="Q442" s="9" t="n"/>
      <c r="R442" s="9" t="n"/>
    </row>
    <row r="443" ht="18" customHeight="1">
      <c r="A443" s="10" t="n"/>
      <c r="B443" s="10" t="n"/>
      <c r="C443" s="10" t="n"/>
      <c r="D443" s="10" t="n"/>
      <c r="E443" s="10" t="n"/>
      <c r="F443" s="10" t="n"/>
      <c r="G443" s="10" t="n"/>
      <c r="H443" s="10" t="n"/>
      <c r="I443" s="10" t="n"/>
      <c r="J443" s="10" t="n"/>
      <c r="K443" s="10">
        <f>IF(AND(D443&lt;&gt;"",H443&lt;&gt;""),ROUND(D443/H443,3),"")</f>
        <v/>
      </c>
      <c r="L443" s="10">
        <f>IF(AND(K443&lt;&gt;"",I443&lt;&gt;""),ROUND(K443/(I443/60),2),"")</f>
        <v/>
      </c>
      <c r="M443" s="10">
        <f>IF(AND(K443&lt;&gt;"",L443&lt;&gt;""),ROUND(K443*L443,3),"")</f>
        <v/>
      </c>
      <c r="N443" s="10" t="n"/>
      <c r="O443" s="10" t="n"/>
      <c r="P443" s="10" t="n"/>
      <c r="Q443" s="10" t="n"/>
      <c r="R443" s="10" t="n"/>
    </row>
    <row r="444" ht="18" customHeight="1">
      <c r="A444" s="9" t="n"/>
      <c r="B444" s="9" t="n"/>
      <c r="C444" s="9" t="n"/>
      <c r="D444" s="9" t="n"/>
      <c r="E444" s="9" t="n"/>
      <c r="F444" s="9" t="n"/>
      <c r="G444" s="9" t="n"/>
      <c r="H444" s="9" t="n"/>
      <c r="I444" s="9" t="n"/>
      <c r="J444" s="9" t="n"/>
      <c r="K444" s="9">
        <f>IF(AND(D444&lt;&gt;"",H444&lt;&gt;""),ROUND(D444/H444,3),"")</f>
        <v/>
      </c>
      <c r="L444" s="9">
        <f>IF(AND(K444&lt;&gt;"",I444&lt;&gt;""),ROUND(K444/(I444/60),2),"")</f>
        <v/>
      </c>
      <c r="M444" s="9">
        <f>IF(AND(K444&lt;&gt;"",L444&lt;&gt;""),ROUND(K444*L444,3),"")</f>
        <v/>
      </c>
      <c r="N444" s="9" t="n"/>
      <c r="O444" s="9" t="n"/>
      <c r="P444" s="9" t="n"/>
      <c r="Q444" s="9" t="n"/>
      <c r="R444" s="9" t="n"/>
    </row>
    <row r="445" ht="18" customHeight="1">
      <c r="A445" s="10" t="n"/>
      <c r="B445" s="10" t="n"/>
      <c r="C445" s="10" t="n"/>
      <c r="D445" s="10" t="n"/>
      <c r="E445" s="10" t="n"/>
      <c r="F445" s="10" t="n"/>
      <c r="G445" s="10" t="n"/>
      <c r="H445" s="10" t="n"/>
      <c r="I445" s="10" t="n"/>
      <c r="J445" s="10" t="n"/>
      <c r="K445" s="10">
        <f>IF(AND(D445&lt;&gt;"",H445&lt;&gt;""),ROUND(D445/H445,3),"")</f>
        <v/>
      </c>
      <c r="L445" s="10">
        <f>IF(AND(K445&lt;&gt;"",I445&lt;&gt;""),ROUND(K445/(I445/60),2),"")</f>
        <v/>
      </c>
      <c r="M445" s="10">
        <f>IF(AND(K445&lt;&gt;"",L445&lt;&gt;""),ROUND(K445*L445,3),"")</f>
        <v/>
      </c>
      <c r="N445" s="10" t="n"/>
      <c r="O445" s="10" t="n"/>
      <c r="P445" s="10" t="n"/>
      <c r="Q445" s="10" t="n"/>
      <c r="R445" s="10" t="n"/>
    </row>
    <row r="446" ht="18" customHeight="1">
      <c r="A446" s="9" t="n"/>
      <c r="B446" s="9" t="n"/>
      <c r="C446" s="9" t="n"/>
      <c r="D446" s="9" t="n"/>
      <c r="E446" s="9" t="n"/>
      <c r="F446" s="9" t="n"/>
      <c r="G446" s="9" t="n"/>
      <c r="H446" s="9" t="n"/>
      <c r="I446" s="9" t="n"/>
      <c r="J446" s="9" t="n"/>
      <c r="K446" s="9">
        <f>IF(AND(D446&lt;&gt;"",H446&lt;&gt;""),ROUND(D446/H446,3),"")</f>
        <v/>
      </c>
      <c r="L446" s="9">
        <f>IF(AND(K446&lt;&gt;"",I446&lt;&gt;""),ROUND(K446/(I446/60),2),"")</f>
        <v/>
      </c>
      <c r="M446" s="9">
        <f>IF(AND(K446&lt;&gt;"",L446&lt;&gt;""),ROUND(K446*L446,3),"")</f>
        <v/>
      </c>
      <c r="N446" s="9" t="n"/>
      <c r="O446" s="9" t="n"/>
      <c r="P446" s="9" t="n"/>
      <c r="Q446" s="9" t="n"/>
      <c r="R446" s="9" t="n"/>
    </row>
    <row r="447" ht="18" customHeight="1">
      <c r="A447" s="10" t="n"/>
      <c r="B447" s="10" t="n"/>
      <c r="C447" s="10" t="n"/>
      <c r="D447" s="10" t="n"/>
      <c r="E447" s="10" t="n"/>
      <c r="F447" s="10" t="n"/>
      <c r="G447" s="10" t="n"/>
      <c r="H447" s="10" t="n"/>
      <c r="I447" s="10" t="n"/>
      <c r="J447" s="10" t="n"/>
      <c r="K447" s="10">
        <f>IF(AND(D447&lt;&gt;"",H447&lt;&gt;""),ROUND(D447/H447,3),"")</f>
        <v/>
      </c>
      <c r="L447" s="10">
        <f>IF(AND(K447&lt;&gt;"",I447&lt;&gt;""),ROUND(K447/(I447/60),2),"")</f>
        <v/>
      </c>
      <c r="M447" s="10">
        <f>IF(AND(K447&lt;&gt;"",L447&lt;&gt;""),ROUND(K447*L447,3),"")</f>
        <v/>
      </c>
      <c r="N447" s="10" t="n"/>
      <c r="O447" s="10" t="n"/>
      <c r="P447" s="10" t="n"/>
      <c r="Q447" s="10" t="n"/>
      <c r="R447" s="10" t="n"/>
    </row>
    <row r="448" ht="18" customHeight="1">
      <c r="A448" s="9" t="n"/>
      <c r="B448" s="9" t="n"/>
      <c r="C448" s="9" t="n"/>
      <c r="D448" s="9" t="n"/>
      <c r="E448" s="9" t="n"/>
      <c r="F448" s="9" t="n"/>
      <c r="G448" s="9" t="n"/>
      <c r="H448" s="9" t="n"/>
      <c r="I448" s="9" t="n"/>
      <c r="J448" s="9" t="n"/>
      <c r="K448" s="9">
        <f>IF(AND(D448&lt;&gt;"",H448&lt;&gt;""),ROUND(D448/H448,3),"")</f>
        <v/>
      </c>
      <c r="L448" s="9">
        <f>IF(AND(K448&lt;&gt;"",I448&lt;&gt;""),ROUND(K448/(I448/60),2),"")</f>
        <v/>
      </c>
      <c r="M448" s="9">
        <f>IF(AND(K448&lt;&gt;"",L448&lt;&gt;""),ROUND(K448*L448,3),"")</f>
        <v/>
      </c>
      <c r="N448" s="9" t="n"/>
      <c r="O448" s="9" t="n"/>
      <c r="P448" s="9" t="n"/>
      <c r="Q448" s="9" t="n"/>
      <c r="R448" s="9" t="n"/>
    </row>
    <row r="449" ht="18" customHeight="1">
      <c r="A449" s="10" t="n"/>
      <c r="B449" s="10" t="n"/>
      <c r="C449" s="10" t="n"/>
      <c r="D449" s="10" t="n"/>
      <c r="E449" s="10" t="n"/>
      <c r="F449" s="10" t="n"/>
      <c r="G449" s="10" t="n"/>
      <c r="H449" s="10" t="n"/>
      <c r="I449" s="10" t="n"/>
      <c r="J449" s="10" t="n"/>
      <c r="K449" s="10">
        <f>IF(AND(D449&lt;&gt;"",H449&lt;&gt;""),ROUND(D449/H449,3),"")</f>
        <v/>
      </c>
      <c r="L449" s="10">
        <f>IF(AND(K449&lt;&gt;"",I449&lt;&gt;""),ROUND(K449/(I449/60),2),"")</f>
        <v/>
      </c>
      <c r="M449" s="10">
        <f>IF(AND(K449&lt;&gt;"",L449&lt;&gt;""),ROUND(K449*L449,3),"")</f>
        <v/>
      </c>
      <c r="N449" s="10" t="n"/>
      <c r="O449" s="10" t="n"/>
      <c r="P449" s="10" t="n"/>
      <c r="Q449" s="10" t="n"/>
      <c r="R449" s="10" t="n"/>
    </row>
    <row r="450" ht="18" customHeight="1">
      <c r="A450" s="9" t="n"/>
      <c r="B450" s="9" t="n"/>
      <c r="C450" s="9" t="n"/>
      <c r="D450" s="9" t="n"/>
      <c r="E450" s="9" t="n"/>
      <c r="F450" s="9" t="n"/>
      <c r="G450" s="9" t="n"/>
      <c r="H450" s="9" t="n"/>
      <c r="I450" s="9" t="n"/>
      <c r="J450" s="9" t="n"/>
      <c r="K450" s="9">
        <f>IF(AND(D450&lt;&gt;"",H450&lt;&gt;""),ROUND(D450/H450,3),"")</f>
        <v/>
      </c>
      <c r="L450" s="9">
        <f>IF(AND(K450&lt;&gt;"",I450&lt;&gt;""),ROUND(K450/(I450/60),2),"")</f>
        <v/>
      </c>
      <c r="M450" s="9">
        <f>IF(AND(K450&lt;&gt;"",L450&lt;&gt;""),ROUND(K450*L450,3),"")</f>
        <v/>
      </c>
      <c r="N450" s="9" t="n"/>
      <c r="O450" s="9" t="n"/>
      <c r="P450" s="9" t="n"/>
      <c r="Q450" s="9" t="n"/>
      <c r="R450" s="9" t="n"/>
    </row>
    <row r="451" ht="18" customHeight="1">
      <c r="A451" s="10" t="n"/>
      <c r="B451" s="10" t="n"/>
      <c r="C451" s="10" t="n"/>
      <c r="D451" s="10" t="n"/>
      <c r="E451" s="10" t="n"/>
      <c r="F451" s="10" t="n"/>
      <c r="G451" s="10" t="n"/>
      <c r="H451" s="10" t="n"/>
      <c r="I451" s="10" t="n"/>
      <c r="J451" s="10" t="n"/>
      <c r="K451" s="10">
        <f>IF(AND(D451&lt;&gt;"",H451&lt;&gt;""),ROUND(D451/H451,3),"")</f>
        <v/>
      </c>
      <c r="L451" s="10">
        <f>IF(AND(K451&lt;&gt;"",I451&lt;&gt;""),ROUND(K451/(I451/60),2),"")</f>
        <v/>
      </c>
      <c r="M451" s="10">
        <f>IF(AND(K451&lt;&gt;"",L451&lt;&gt;""),ROUND(K451*L451,3),"")</f>
        <v/>
      </c>
      <c r="N451" s="10" t="n"/>
      <c r="O451" s="10" t="n"/>
      <c r="P451" s="10" t="n"/>
      <c r="Q451" s="10" t="n"/>
      <c r="R451" s="10" t="n"/>
    </row>
    <row r="452" ht="18" customHeight="1">
      <c r="A452" s="9" t="n"/>
      <c r="B452" s="9" t="n"/>
      <c r="C452" s="9" t="n"/>
      <c r="D452" s="9" t="n"/>
      <c r="E452" s="9" t="n"/>
      <c r="F452" s="9" t="n"/>
      <c r="G452" s="9" t="n"/>
      <c r="H452" s="9" t="n"/>
      <c r="I452" s="9" t="n"/>
      <c r="J452" s="9" t="n"/>
      <c r="K452" s="9">
        <f>IF(AND(D452&lt;&gt;"",H452&lt;&gt;""),ROUND(D452/H452,3),"")</f>
        <v/>
      </c>
      <c r="L452" s="9">
        <f>IF(AND(K452&lt;&gt;"",I452&lt;&gt;""),ROUND(K452/(I452/60),2),"")</f>
        <v/>
      </c>
      <c r="M452" s="9">
        <f>IF(AND(K452&lt;&gt;"",L452&lt;&gt;""),ROUND(K452*L452,3),"")</f>
        <v/>
      </c>
      <c r="N452" s="9" t="n"/>
      <c r="O452" s="9" t="n"/>
      <c r="P452" s="9" t="n"/>
      <c r="Q452" s="9" t="n"/>
      <c r="R452" s="9" t="n"/>
    </row>
    <row r="453" ht="18" customHeight="1">
      <c r="A453" s="10" t="n"/>
      <c r="B453" s="10" t="n"/>
      <c r="C453" s="10" t="n"/>
      <c r="D453" s="10" t="n"/>
      <c r="E453" s="10" t="n"/>
      <c r="F453" s="10" t="n"/>
      <c r="G453" s="10" t="n"/>
      <c r="H453" s="10" t="n"/>
      <c r="I453" s="10" t="n"/>
      <c r="J453" s="10" t="n"/>
      <c r="K453" s="10">
        <f>IF(AND(D453&lt;&gt;"",H453&lt;&gt;""),ROUND(D453/H453,3),"")</f>
        <v/>
      </c>
      <c r="L453" s="10">
        <f>IF(AND(K453&lt;&gt;"",I453&lt;&gt;""),ROUND(K453/(I453/60),2),"")</f>
        <v/>
      </c>
      <c r="M453" s="10">
        <f>IF(AND(K453&lt;&gt;"",L453&lt;&gt;""),ROUND(K453*L453,3),"")</f>
        <v/>
      </c>
      <c r="N453" s="10" t="n"/>
      <c r="O453" s="10" t="n"/>
      <c r="P453" s="10" t="n"/>
      <c r="Q453" s="10" t="n"/>
      <c r="R453" s="10" t="n"/>
    </row>
    <row r="454" ht="18" customHeight="1">
      <c r="A454" s="9" t="n"/>
      <c r="B454" s="9" t="n"/>
      <c r="C454" s="9" t="n"/>
      <c r="D454" s="9" t="n"/>
      <c r="E454" s="9" t="n"/>
      <c r="F454" s="9" t="n"/>
      <c r="G454" s="9" t="n"/>
      <c r="H454" s="9" t="n"/>
      <c r="I454" s="9" t="n"/>
      <c r="J454" s="9" t="n"/>
      <c r="K454" s="9">
        <f>IF(AND(D454&lt;&gt;"",H454&lt;&gt;""),ROUND(D454/H454,3),"")</f>
        <v/>
      </c>
      <c r="L454" s="9">
        <f>IF(AND(K454&lt;&gt;"",I454&lt;&gt;""),ROUND(K454/(I454/60),2),"")</f>
        <v/>
      </c>
      <c r="M454" s="9">
        <f>IF(AND(K454&lt;&gt;"",L454&lt;&gt;""),ROUND(K454*L454,3),"")</f>
        <v/>
      </c>
      <c r="N454" s="9" t="n"/>
      <c r="O454" s="9" t="n"/>
      <c r="P454" s="9" t="n"/>
      <c r="Q454" s="9" t="n"/>
      <c r="R454" s="9" t="n"/>
    </row>
    <row r="455" ht="18" customHeight="1">
      <c r="A455" s="10" t="n"/>
      <c r="B455" s="10" t="n"/>
      <c r="C455" s="10" t="n"/>
      <c r="D455" s="10" t="n"/>
      <c r="E455" s="10" t="n"/>
      <c r="F455" s="10" t="n"/>
      <c r="G455" s="10" t="n"/>
      <c r="H455" s="10" t="n"/>
      <c r="I455" s="10" t="n"/>
      <c r="J455" s="10" t="n"/>
      <c r="K455" s="10">
        <f>IF(AND(D455&lt;&gt;"",H455&lt;&gt;""),ROUND(D455/H455,3),"")</f>
        <v/>
      </c>
      <c r="L455" s="10">
        <f>IF(AND(K455&lt;&gt;"",I455&lt;&gt;""),ROUND(K455/(I455/60),2),"")</f>
        <v/>
      </c>
      <c r="M455" s="10">
        <f>IF(AND(K455&lt;&gt;"",L455&lt;&gt;""),ROUND(K455*L455,3),"")</f>
        <v/>
      </c>
      <c r="N455" s="10" t="n"/>
      <c r="O455" s="10" t="n"/>
      <c r="P455" s="10" t="n"/>
      <c r="Q455" s="10" t="n"/>
      <c r="R455" s="10" t="n"/>
    </row>
    <row r="456" ht="18" customHeight="1">
      <c r="A456" s="9" t="n"/>
      <c r="B456" s="9" t="n"/>
      <c r="C456" s="9" t="n"/>
      <c r="D456" s="9" t="n"/>
      <c r="E456" s="9" t="n"/>
      <c r="F456" s="9" t="n"/>
      <c r="G456" s="9" t="n"/>
      <c r="H456" s="9" t="n"/>
      <c r="I456" s="9" t="n"/>
      <c r="J456" s="9" t="n"/>
      <c r="K456" s="9">
        <f>IF(AND(D456&lt;&gt;"",H456&lt;&gt;""),ROUND(D456/H456,3),"")</f>
        <v/>
      </c>
      <c r="L456" s="9">
        <f>IF(AND(K456&lt;&gt;"",I456&lt;&gt;""),ROUND(K456/(I456/60),2),"")</f>
        <v/>
      </c>
      <c r="M456" s="9">
        <f>IF(AND(K456&lt;&gt;"",L456&lt;&gt;""),ROUND(K456*L456,3),"")</f>
        <v/>
      </c>
      <c r="N456" s="9" t="n"/>
      <c r="O456" s="9" t="n"/>
      <c r="P456" s="9" t="n"/>
      <c r="Q456" s="9" t="n"/>
      <c r="R456" s="9" t="n"/>
    </row>
    <row r="457" ht="18" customHeight="1">
      <c r="A457" s="10" t="n"/>
      <c r="B457" s="10" t="n"/>
      <c r="C457" s="10" t="n"/>
      <c r="D457" s="10" t="n"/>
      <c r="E457" s="10" t="n"/>
      <c r="F457" s="10" t="n"/>
      <c r="G457" s="10" t="n"/>
      <c r="H457" s="10" t="n"/>
      <c r="I457" s="10" t="n"/>
      <c r="J457" s="10" t="n"/>
      <c r="K457" s="10">
        <f>IF(AND(D457&lt;&gt;"",H457&lt;&gt;""),ROUND(D457/H457,3),"")</f>
        <v/>
      </c>
      <c r="L457" s="10">
        <f>IF(AND(K457&lt;&gt;"",I457&lt;&gt;""),ROUND(K457/(I457/60),2),"")</f>
        <v/>
      </c>
      <c r="M457" s="10">
        <f>IF(AND(K457&lt;&gt;"",L457&lt;&gt;""),ROUND(K457*L457,3),"")</f>
        <v/>
      </c>
      <c r="N457" s="10" t="n"/>
      <c r="O457" s="10" t="n"/>
      <c r="P457" s="10" t="n"/>
      <c r="Q457" s="10" t="n"/>
      <c r="R457" s="10" t="n"/>
    </row>
    <row r="458" ht="18" customHeight="1">
      <c r="A458" s="9" t="n"/>
      <c r="B458" s="9" t="n"/>
      <c r="C458" s="9" t="n"/>
      <c r="D458" s="9" t="n"/>
      <c r="E458" s="9" t="n"/>
      <c r="F458" s="9" t="n"/>
      <c r="G458" s="9" t="n"/>
      <c r="H458" s="9" t="n"/>
      <c r="I458" s="9" t="n"/>
      <c r="J458" s="9" t="n"/>
      <c r="K458" s="9">
        <f>IF(AND(D458&lt;&gt;"",H458&lt;&gt;""),ROUND(D458/H458,3),"")</f>
        <v/>
      </c>
      <c r="L458" s="9">
        <f>IF(AND(K458&lt;&gt;"",I458&lt;&gt;""),ROUND(K458/(I458/60),2),"")</f>
        <v/>
      </c>
      <c r="M458" s="9">
        <f>IF(AND(K458&lt;&gt;"",L458&lt;&gt;""),ROUND(K458*L458,3),"")</f>
        <v/>
      </c>
      <c r="N458" s="9" t="n"/>
      <c r="O458" s="9" t="n"/>
      <c r="P458" s="9" t="n"/>
      <c r="Q458" s="9" t="n"/>
      <c r="R458" s="9" t="n"/>
    </row>
    <row r="459" ht="18" customHeight="1">
      <c r="A459" s="10" t="n"/>
      <c r="B459" s="10" t="n"/>
      <c r="C459" s="10" t="n"/>
      <c r="D459" s="10" t="n"/>
      <c r="E459" s="10" t="n"/>
      <c r="F459" s="10" t="n"/>
      <c r="G459" s="10" t="n"/>
      <c r="H459" s="10" t="n"/>
      <c r="I459" s="10" t="n"/>
      <c r="J459" s="10" t="n"/>
      <c r="K459" s="10">
        <f>IF(AND(D459&lt;&gt;"",H459&lt;&gt;""),ROUND(D459/H459,3),"")</f>
        <v/>
      </c>
      <c r="L459" s="10">
        <f>IF(AND(K459&lt;&gt;"",I459&lt;&gt;""),ROUND(K459/(I459/60),2),"")</f>
        <v/>
      </c>
      <c r="M459" s="10">
        <f>IF(AND(K459&lt;&gt;"",L459&lt;&gt;""),ROUND(K459*L459,3),"")</f>
        <v/>
      </c>
      <c r="N459" s="10" t="n"/>
      <c r="O459" s="10" t="n"/>
      <c r="P459" s="10" t="n"/>
      <c r="Q459" s="10" t="n"/>
      <c r="R459" s="10" t="n"/>
    </row>
    <row r="460" ht="18" customHeight="1">
      <c r="A460" s="9" t="n"/>
      <c r="B460" s="9" t="n"/>
      <c r="C460" s="9" t="n"/>
      <c r="D460" s="9" t="n"/>
      <c r="E460" s="9" t="n"/>
      <c r="F460" s="9" t="n"/>
      <c r="G460" s="9" t="n"/>
      <c r="H460" s="9" t="n"/>
      <c r="I460" s="9" t="n"/>
      <c r="J460" s="9" t="n"/>
      <c r="K460" s="9">
        <f>IF(AND(D460&lt;&gt;"",H460&lt;&gt;""),ROUND(D460/H460,3),"")</f>
        <v/>
      </c>
      <c r="L460" s="9">
        <f>IF(AND(K460&lt;&gt;"",I460&lt;&gt;""),ROUND(K460/(I460/60),2),"")</f>
        <v/>
      </c>
      <c r="M460" s="9">
        <f>IF(AND(K460&lt;&gt;"",L460&lt;&gt;""),ROUND(K460*L460,3),"")</f>
        <v/>
      </c>
      <c r="N460" s="9" t="n"/>
      <c r="O460" s="9" t="n"/>
      <c r="P460" s="9" t="n"/>
      <c r="Q460" s="9" t="n"/>
      <c r="R460" s="9" t="n"/>
    </row>
    <row r="461" ht="18" customHeight="1">
      <c r="A461" s="10" t="n"/>
      <c r="B461" s="10" t="n"/>
      <c r="C461" s="10" t="n"/>
      <c r="D461" s="10" t="n"/>
      <c r="E461" s="10" t="n"/>
      <c r="F461" s="10" t="n"/>
      <c r="G461" s="10" t="n"/>
      <c r="H461" s="10" t="n"/>
      <c r="I461" s="10" t="n"/>
      <c r="J461" s="10" t="n"/>
      <c r="K461" s="10">
        <f>IF(AND(D461&lt;&gt;"",H461&lt;&gt;""),ROUND(D461/H461,3),"")</f>
        <v/>
      </c>
      <c r="L461" s="10">
        <f>IF(AND(K461&lt;&gt;"",I461&lt;&gt;""),ROUND(K461/(I461/60),2),"")</f>
        <v/>
      </c>
      <c r="M461" s="10">
        <f>IF(AND(K461&lt;&gt;"",L461&lt;&gt;""),ROUND(K461*L461,3),"")</f>
        <v/>
      </c>
      <c r="N461" s="10" t="n"/>
      <c r="O461" s="10" t="n"/>
      <c r="P461" s="10" t="n"/>
      <c r="Q461" s="10" t="n"/>
      <c r="R461" s="10" t="n"/>
    </row>
    <row r="462" ht="18" customHeight="1">
      <c r="A462" s="9" t="n"/>
      <c r="B462" s="9" t="n"/>
      <c r="C462" s="9" t="n"/>
      <c r="D462" s="9" t="n"/>
      <c r="E462" s="9" t="n"/>
      <c r="F462" s="9" t="n"/>
      <c r="G462" s="9" t="n"/>
      <c r="H462" s="9" t="n"/>
      <c r="I462" s="9" t="n"/>
      <c r="J462" s="9" t="n"/>
      <c r="K462" s="9">
        <f>IF(AND(D462&lt;&gt;"",H462&lt;&gt;""),ROUND(D462/H462,3),"")</f>
        <v/>
      </c>
      <c r="L462" s="9">
        <f>IF(AND(K462&lt;&gt;"",I462&lt;&gt;""),ROUND(K462/(I462/60),2),"")</f>
        <v/>
      </c>
      <c r="M462" s="9">
        <f>IF(AND(K462&lt;&gt;"",L462&lt;&gt;""),ROUND(K462*L462,3),"")</f>
        <v/>
      </c>
      <c r="N462" s="9" t="n"/>
      <c r="O462" s="9" t="n"/>
      <c r="P462" s="9" t="n"/>
      <c r="Q462" s="9" t="n"/>
      <c r="R462" s="9" t="n"/>
    </row>
    <row r="463" ht="18" customHeight="1">
      <c r="A463" s="10" t="n"/>
      <c r="B463" s="10" t="n"/>
      <c r="C463" s="10" t="n"/>
      <c r="D463" s="10" t="n"/>
      <c r="E463" s="10" t="n"/>
      <c r="F463" s="10" t="n"/>
      <c r="G463" s="10" t="n"/>
      <c r="H463" s="10" t="n"/>
      <c r="I463" s="10" t="n"/>
      <c r="J463" s="10" t="n"/>
      <c r="K463" s="10">
        <f>IF(AND(D463&lt;&gt;"",H463&lt;&gt;""),ROUND(D463/H463,3),"")</f>
        <v/>
      </c>
      <c r="L463" s="10">
        <f>IF(AND(K463&lt;&gt;"",I463&lt;&gt;""),ROUND(K463/(I463/60),2),"")</f>
        <v/>
      </c>
      <c r="M463" s="10">
        <f>IF(AND(K463&lt;&gt;"",L463&lt;&gt;""),ROUND(K463*L463,3),"")</f>
        <v/>
      </c>
      <c r="N463" s="10" t="n"/>
      <c r="O463" s="10" t="n"/>
      <c r="P463" s="10" t="n"/>
      <c r="Q463" s="10" t="n"/>
      <c r="R463" s="10" t="n"/>
    </row>
    <row r="464" ht="18" customHeight="1">
      <c r="A464" s="9" t="n"/>
      <c r="B464" s="9" t="n"/>
      <c r="C464" s="9" t="n"/>
      <c r="D464" s="9" t="n"/>
      <c r="E464" s="9" t="n"/>
      <c r="F464" s="9" t="n"/>
      <c r="G464" s="9" t="n"/>
      <c r="H464" s="9" t="n"/>
      <c r="I464" s="9" t="n"/>
      <c r="J464" s="9" t="n"/>
      <c r="K464" s="9">
        <f>IF(AND(D464&lt;&gt;"",H464&lt;&gt;""),ROUND(D464/H464,3),"")</f>
        <v/>
      </c>
      <c r="L464" s="9">
        <f>IF(AND(K464&lt;&gt;"",I464&lt;&gt;""),ROUND(K464/(I464/60),2),"")</f>
        <v/>
      </c>
      <c r="M464" s="9">
        <f>IF(AND(K464&lt;&gt;"",L464&lt;&gt;""),ROUND(K464*L464,3),"")</f>
        <v/>
      </c>
      <c r="N464" s="9" t="n"/>
      <c r="O464" s="9" t="n"/>
      <c r="P464" s="9" t="n"/>
      <c r="Q464" s="9" t="n"/>
      <c r="R464" s="9" t="n"/>
    </row>
    <row r="465" ht="18" customHeight="1">
      <c r="A465" s="10" t="n"/>
      <c r="B465" s="10" t="n"/>
      <c r="C465" s="10" t="n"/>
      <c r="D465" s="10" t="n"/>
      <c r="E465" s="10" t="n"/>
      <c r="F465" s="10" t="n"/>
      <c r="G465" s="10" t="n"/>
      <c r="H465" s="10" t="n"/>
      <c r="I465" s="10" t="n"/>
      <c r="J465" s="10" t="n"/>
      <c r="K465" s="10">
        <f>IF(AND(D465&lt;&gt;"",H465&lt;&gt;""),ROUND(D465/H465,3),"")</f>
        <v/>
      </c>
      <c r="L465" s="10">
        <f>IF(AND(K465&lt;&gt;"",I465&lt;&gt;""),ROUND(K465/(I465/60),2),"")</f>
        <v/>
      </c>
      <c r="M465" s="10">
        <f>IF(AND(K465&lt;&gt;"",L465&lt;&gt;""),ROUND(K465*L465,3),"")</f>
        <v/>
      </c>
      <c r="N465" s="10" t="n"/>
      <c r="O465" s="10" t="n"/>
      <c r="P465" s="10" t="n"/>
      <c r="Q465" s="10" t="n"/>
      <c r="R465" s="10" t="n"/>
    </row>
    <row r="466" ht="18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>
        <f>IF(AND(D466&lt;&gt;"",H466&lt;&gt;""),ROUND(D466/H466,3),"")</f>
        <v/>
      </c>
      <c r="L466" s="9">
        <f>IF(AND(K466&lt;&gt;"",I466&lt;&gt;""),ROUND(K466/(I466/60),2),"")</f>
        <v/>
      </c>
      <c r="M466" s="9">
        <f>IF(AND(K466&lt;&gt;"",L466&lt;&gt;""),ROUND(K466*L466,3),"")</f>
        <v/>
      </c>
      <c r="N466" s="9" t="n"/>
      <c r="O466" s="9" t="n"/>
      <c r="P466" s="9" t="n"/>
      <c r="Q466" s="9" t="n"/>
      <c r="R466" s="9" t="n"/>
    </row>
    <row r="467" ht="18" customHeight="1">
      <c r="A467" s="10" t="n"/>
      <c r="B467" s="10" t="n"/>
      <c r="C467" s="10" t="n"/>
      <c r="D467" s="10" t="n"/>
      <c r="E467" s="10" t="n"/>
      <c r="F467" s="10" t="n"/>
      <c r="G467" s="10" t="n"/>
      <c r="H467" s="10" t="n"/>
      <c r="I467" s="10" t="n"/>
      <c r="J467" s="10" t="n"/>
      <c r="K467" s="10">
        <f>IF(AND(D467&lt;&gt;"",H467&lt;&gt;""),ROUND(D467/H467,3),"")</f>
        <v/>
      </c>
      <c r="L467" s="10">
        <f>IF(AND(K467&lt;&gt;"",I467&lt;&gt;""),ROUND(K467/(I467/60),2),"")</f>
        <v/>
      </c>
      <c r="M467" s="10">
        <f>IF(AND(K467&lt;&gt;"",L467&lt;&gt;""),ROUND(K467*L467,3),"")</f>
        <v/>
      </c>
      <c r="N467" s="10" t="n"/>
      <c r="O467" s="10" t="n"/>
      <c r="P467" s="10" t="n"/>
      <c r="Q467" s="10" t="n"/>
      <c r="R467" s="10" t="n"/>
    </row>
    <row r="468" ht="18" customHeight="1">
      <c r="A468" s="9" t="n"/>
      <c r="B468" s="9" t="n"/>
      <c r="C468" s="9" t="n"/>
      <c r="D468" s="9" t="n"/>
      <c r="E468" s="9" t="n"/>
      <c r="F468" s="9" t="n"/>
      <c r="G468" s="9" t="n"/>
      <c r="H468" s="9" t="n"/>
      <c r="I468" s="9" t="n"/>
      <c r="J468" s="9" t="n"/>
      <c r="K468" s="9">
        <f>IF(AND(D468&lt;&gt;"",H468&lt;&gt;""),ROUND(D468/H468,3),"")</f>
        <v/>
      </c>
      <c r="L468" s="9">
        <f>IF(AND(K468&lt;&gt;"",I468&lt;&gt;""),ROUND(K468/(I468/60),2),"")</f>
        <v/>
      </c>
      <c r="M468" s="9">
        <f>IF(AND(K468&lt;&gt;"",L468&lt;&gt;""),ROUND(K468*L468,3),"")</f>
        <v/>
      </c>
      <c r="N468" s="9" t="n"/>
      <c r="O468" s="9" t="n"/>
      <c r="P468" s="9" t="n"/>
      <c r="Q468" s="9" t="n"/>
      <c r="R468" s="9" t="n"/>
    </row>
    <row r="469" ht="18" customHeight="1">
      <c r="A469" s="10" t="n"/>
      <c r="B469" s="10" t="n"/>
      <c r="C469" s="10" t="n"/>
      <c r="D469" s="10" t="n"/>
      <c r="E469" s="10" t="n"/>
      <c r="F469" s="10" t="n"/>
      <c r="G469" s="10" t="n"/>
      <c r="H469" s="10" t="n"/>
      <c r="I469" s="10" t="n"/>
      <c r="J469" s="10" t="n"/>
      <c r="K469" s="10">
        <f>IF(AND(D469&lt;&gt;"",H469&lt;&gt;""),ROUND(D469/H469,3),"")</f>
        <v/>
      </c>
      <c r="L469" s="10">
        <f>IF(AND(K469&lt;&gt;"",I469&lt;&gt;""),ROUND(K469/(I469/60),2),"")</f>
        <v/>
      </c>
      <c r="M469" s="10">
        <f>IF(AND(K469&lt;&gt;"",L469&lt;&gt;""),ROUND(K469*L469,3),"")</f>
        <v/>
      </c>
      <c r="N469" s="10" t="n"/>
      <c r="O469" s="10" t="n"/>
      <c r="P469" s="10" t="n"/>
      <c r="Q469" s="10" t="n"/>
      <c r="R469" s="10" t="n"/>
    </row>
    <row r="470" ht="18" customHeight="1">
      <c r="A470" s="9" t="n"/>
      <c r="B470" s="9" t="n"/>
      <c r="C470" s="9" t="n"/>
      <c r="D470" s="9" t="n"/>
      <c r="E470" s="9" t="n"/>
      <c r="F470" s="9" t="n"/>
      <c r="G470" s="9" t="n"/>
      <c r="H470" s="9" t="n"/>
      <c r="I470" s="9" t="n"/>
      <c r="J470" s="9" t="n"/>
      <c r="K470" s="9">
        <f>IF(AND(D470&lt;&gt;"",H470&lt;&gt;""),ROUND(D470/H470,3),"")</f>
        <v/>
      </c>
      <c r="L470" s="9">
        <f>IF(AND(K470&lt;&gt;"",I470&lt;&gt;""),ROUND(K470/(I470/60),2),"")</f>
        <v/>
      </c>
      <c r="M470" s="9">
        <f>IF(AND(K470&lt;&gt;"",L470&lt;&gt;""),ROUND(K470*L470,3),"")</f>
        <v/>
      </c>
      <c r="N470" s="9" t="n"/>
      <c r="O470" s="9" t="n"/>
      <c r="P470" s="9" t="n"/>
      <c r="Q470" s="9" t="n"/>
      <c r="R470" s="9" t="n"/>
    </row>
    <row r="471" ht="18" customHeight="1">
      <c r="A471" s="10" t="n"/>
      <c r="B471" s="10" t="n"/>
      <c r="C471" s="10" t="n"/>
      <c r="D471" s="10" t="n"/>
      <c r="E471" s="10" t="n"/>
      <c r="F471" s="10" t="n"/>
      <c r="G471" s="10" t="n"/>
      <c r="H471" s="10" t="n"/>
      <c r="I471" s="10" t="n"/>
      <c r="J471" s="10" t="n"/>
      <c r="K471" s="10">
        <f>IF(AND(D471&lt;&gt;"",H471&lt;&gt;""),ROUND(D471/H471,3),"")</f>
        <v/>
      </c>
      <c r="L471" s="10">
        <f>IF(AND(K471&lt;&gt;"",I471&lt;&gt;""),ROUND(K471/(I471/60),2),"")</f>
        <v/>
      </c>
      <c r="M471" s="10">
        <f>IF(AND(K471&lt;&gt;"",L471&lt;&gt;""),ROUND(K471*L471,3),"")</f>
        <v/>
      </c>
      <c r="N471" s="10" t="n"/>
      <c r="O471" s="10" t="n"/>
      <c r="P471" s="10" t="n"/>
      <c r="Q471" s="10" t="n"/>
      <c r="R471" s="10" t="n"/>
    </row>
    <row r="472" ht="18" customHeight="1">
      <c r="A472" s="9" t="n"/>
      <c r="B472" s="9" t="n"/>
      <c r="C472" s="9" t="n"/>
      <c r="D472" s="9" t="n"/>
      <c r="E472" s="9" t="n"/>
      <c r="F472" s="9" t="n"/>
      <c r="G472" s="9" t="n"/>
      <c r="H472" s="9" t="n"/>
      <c r="I472" s="9" t="n"/>
      <c r="J472" s="9" t="n"/>
      <c r="K472" s="9">
        <f>IF(AND(D472&lt;&gt;"",H472&lt;&gt;""),ROUND(D472/H472,3),"")</f>
        <v/>
      </c>
      <c r="L472" s="9">
        <f>IF(AND(K472&lt;&gt;"",I472&lt;&gt;""),ROUND(K472/(I472/60),2),"")</f>
        <v/>
      </c>
      <c r="M472" s="9">
        <f>IF(AND(K472&lt;&gt;"",L472&lt;&gt;""),ROUND(K472*L472,3),"")</f>
        <v/>
      </c>
      <c r="N472" s="9" t="n"/>
      <c r="O472" s="9" t="n"/>
      <c r="P472" s="9" t="n"/>
      <c r="Q472" s="9" t="n"/>
      <c r="R472" s="9" t="n"/>
    </row>
    <row r="473" ht="18" customHeight="1">
      <c r="A473" s="10" t="n"/>
      <c r="B473" s="10" t="n"/>
      <c r="C473" s="10" t="n"/>
      <c r="D473" s="10" t="n"/>
      <c r="E473" s="10" t="n"/>
      <c r="F473" s="10" t="n"/>
      <c r="G473" s="10" t="n"/>
      <c r="H473" s="10" t="n"/>
      <c r="I473" s="10" t="n"/>
      <c r="J473" s="10" t="n"/>
      <c r="K473" s="10">
        <f>IF(AND(D473&lt;&gt;"",H473&lt;&gt;""),ROUND(D473/H473,3),"")</f>
        <v/>
      </c>
      <c r="L473" s="10">
        <f>IF(AND(K473&lt;&gt;"",I473&lt;&gt;""),ROUND(K473/(I473/60),2),"")</f>
        <v/>
      </c>
      <c r="M473" s="10">
        <f>IF(AND(K473&lt;&gt;"",L473&lt;&gt;""),ROUND(K473*L473,3),"")</f>
        <v/>
      </c>
      <c r="N473" s="10" t="n"/>
      <c r="O473" s="10" t="n"/>
      <c r="P473" s="10" t="n"/>
      <c r="Q473" s="10" t="n"/>
      <c r="R473" s="10" t="n"/>
    </row>
    <row r="474" ht="18" customHeight="1">
      <c r="A474" s="9" t="n"/>
      <c r="B474" s="9" t="n"/>
      <c r="C474" s="9" t="n"/>
      <c r="D474" s="9" t="n"/>
      <c r="E474" s="9" t="n"/>
      <c r="F474" s="9" t="n"/>
      <c r="G474" s="9" t="n"/>
      <c r="H474" s="9" t="n"/>
      <c r="I474" s="9" t="n"/>
      <c r="J474" s="9" t="n"/>
      <c r="K474" s="9">
        <f>IF(AND(D474&lt;&gt;"",H474&lt;&gt;""),ROUND(D474/H474,3),"")</f>
        <v/>
      </c>
      <c r="L474" s="9">
        <f>IF(AND(K474&lt;&gt;"",I474&lt;&gt;""),ROUND(K474/(I474/60),2),"")</f>
        <v/>
      </c>
      <c r="M474" s="9">
        <f>IF(AND(K474&lt;&gt;"",L474&lt;&gt;""),ROUND(K474*L474,3),"")</f>
        <v/>
      </c>
      <c r="N474" s="9" t="n"/>
      <c r="O474" s="9" t="n"/>
      <c r="P474" s="9" t="n"/>
      <c r="Q474" s="9" t="n"/>
      <c r="R474" s="9" t="n"/>
    </row>
    <row r="475" ht="18" customHeight="1">
      <c r="A475" s="10" t="n"/>
      <c r="B475" s="10" t="n"/>
      <c r="C475" s="10" t="n"/>
      <c r="D475" s="10" t="n"/>
      <c r="E475" s="10" t="n"/>
      <c r="F475" s="10" t="n"/>
      <c r="G475" s="10" t="n"/>
      <c r="H475" s="10" t="n"/>
      <c r="I475" s="10" t="n"/>
      <c r="J475" s="10" t="n"/>
      <c r="K475" s="10">
        <f>IF(AND(D475&lt;&gt;"",H475&lt;&gt;""),ROUND(D475/H475,3),"")</f>
        <v/>
      </c>
      <c r="L475" s="10">
        <f>IF(AND(K475&lt;&gt;"",I475&lt;&gt;""),ROUND(K475/(I475/60),2),"")</f>
        <v/>
      </c>
      <c r="M475" s="10">
        <f>IF(AND(K475&lt;&gt;"",L475&lt;&gt;""),ROUND(K475*L475,3),"")</f>
        <v/>
      </c>
      <c r="N475" s="10" t="n"/>
      <c r="O475" s="10" t="n"/>
      <c r="P475" s="10" t="n"/>
      <c r="Q475" s="10" t="n"/>
      <c r="R475" s="10" t="n"/>
    </row>
    <row r="476" ht="18" customHeight="1">
      <c r="A476" s="9" t="n"/>
      <c r="B476" s="9" t="n"/>
      <c r="C476" s="9" t="n"/>
      <c r="D476" s="9" t="n"/>
      <c r="E476" s="9" t="n"/>
      <c r="F476" s="9" t="n"/>
      <c r="G476" s="9" t="n"/>
      <c r="H476" s="9" t="n"/>
      <c r="I476" s="9" t="n"/>
      <c r="J476" s="9" t="n"/>
      <c r="K476" s="9">
        <f>IF(AND(D476&lt;&gt;"",H476&lt;&gt;""),ROUND(D476/H476,3),"")</f>
        <v/>
      </c>
      <c r="L476" s="9">
        <f>IF(AND(K476&lt;&gt;"",I476&lt;&gt;""),ROUND(K476/(I476/60),2),"")</f>
        <v/>
      </c>
      <c r="M476" s="9">
        <f>IF(AND(K476&lt;&gt;"",L476&lt;&gt;""),ROUND(K476*L476,3),"")</f>
        <v/>
      </c>
      <c r="N476" s="9" t="n"/>
      <c r="O476" s="9" t="n"/>
      <c r="P476" s="9" t="n"/>
      <c r="Q476" s="9" t="n"/>
      <c r="R476" s="9" t="n"/>
    </row>
    <row r="477" ht="18" customHeight="1">
      <c r="A477" s="10" t="n"/>
      <c r="B477" s="10" t="n"/>
      <c r="C477" s="10" t="n"/>
      <c r="D477" s="10" t="n"/>
      <c r="E477" s="10" t="n"/>
      <c r="F477" s="10" t="n"/>
      <c r="G477" s="10" t="n"/>
      <c r="H477" s="10" t="n"/>
      <c r="I477" s="10" t="n"/>
      <c r="J477" s="10" t="n"/>
      <c r="K477" s="10">
        <f>IF(AND(D477&lt;&gt;"",H477&lt;&gt;""),ROUND(D477/H477,3),"")</f>
        <v/>
      </c>
      <c r="L477" s="10">
        <f>IF(AND(K477&lt;&gt;"",I477&lt;&gt;""),ROUND(K477/(I477/60),2),"")</f>
        <v/>
      </c>
      <c r="M477" s="10">
        <f>IF(AND(K477&lt;&gt;"",L477&lt;&gt;""),ROUND(K477*L477,3),"")</f>
        <v/>
      </c>
      <c r="N477" s="10" t="n"/>
      <c r="O477" s="10" t="n"/>
      <c r="P477" s="10" t="n"/>
      <c r="Q477" s="10" t="n"/>
      <c r="R477" s="10" t="n"/>
    </row>
    <row r="478" ht="18" customHeight="1">
      <c r="A478" s="9" t="n"/>
      <c r="B478" s="9" t="n"/>
      <c r="C478" s="9" t="n"/>
      <c r="D478" s="9" t="n"/>
      <c r="E478" s="9" t="n"/>
      <c r="F478" s="9" t="n"/>
      <c r="G478" s="9" t="n"/>
      <c r="H478" s="9" t="n"/>
      <c r="I478" s="9" t="n"/>
      <c r="J478" s="9" t="n"/>
      <c r="K478" s="9">
        <f>IF(AND(D478&lt;&gt;"",H478&lt;&gt;""),ROUND(D478/H478,3),"")</f>
        <v/>
      </c>
      <c r="L478" s="9">
        <f>IF(AND(K478&lt;&gt;"",I478&lt;&gt;""),ROUND(K478/(I478/60),2),"")</f>
        <v/>
      </c>
      <c r="M478" s="9">
        <f>IF(AND(K478&lt;&gt;"",L478&lt;&gt;""),ROUND(K478*L478,3),"")</f>
        <v/>
      </c>
      <c r="N478" s="9" t="n"/>
      <c r="O478" s="9" t="n"/>
      <c r="P478" s="9" t="n"/>
      <c r="Q478" s="9" t="n"/>
      <c r="R478" s="9" t="n"/>
    </row>
    <row r="479" ht="18" customHeight="1">
      <c r="A479" s="10" t="n"/>
      <c r="B479" s="10" t="n"/>
      <c r="C479" s="10" t="n"/>
      <c r="D479" s="10" t="n"/>
      <c r="E479" s="10" t="n"/>
      <c r="F479" s="10" t="n"/>
      <c r="G479" s="10" t="n"/>
      <c r="H479" s="10" t="n"/>
      <c r="I479" s="10" t="n"/>
      <c r="J479" s="10" t="n"/>
      <c r="K479" s="10">
        <f>IF(AND(D479&lt;&gt;"",H479&lt;&gt;""),ROUND(D479/H479,3),"")</f>
        <v/>
      </c>
      <c r="L479" s="10">
        <f>IF(AND(K479&lt;&gt;"",I479&lt;&gt;""),ROUND(K479/(I479/60),2),"")</f>
        <v/>
      </c>
      <c r="M479" s="10">
        <f>IF(AND(K479&lt;&gt;"",L479&lt;&gt;""),ROUND(K479*L479,3),"")</f>
        <v/>
      </c>
      <c r="N479" s="10" t="n"/>
      <c r="O479" s="10" t="n"/>
      <c r="P479" s="10" t="n"/>
      <c r="Q479" s="10" t="n"/>
      <c r="R479" s="10" t="n"/>
    </row>
    <row r="480" ht="18" customHeight="1">
      <c r="A480" s="9" t="n"/>
      <c r="B480" s="9" t="n"/>
      <c r="C480" s="9" t="n"/>
      <c r="D480" s="9" t="n"/>
      <c r="E480" s="9" t="n"/>
      <c r="F480" s="9" t="n"/>
      <c r="G480" s="9" t="n"/>
      <c r="H480" s="9" t="n"/>
      <c r="I480" s="9" t="n"/>
      <c r="J480" s="9" t="n"/>
      <c r="K480" s="9">
        <f>IF(AND(D480&lt;&gt;"",H480&lt;&gt;""),ROUND(D480/H480,3),"")</f>
        <v/>
      </c>
      <c r="L480" s="9">
        <f>IF(AND(K480&lt;&gt;"",I480&lt;&gt;""),ROUND(K480/(I480/60),2),"")</f>
        <v/>
      </c>
      <c r="M480" s="9">
        <f>IF(AND(K480&lt;&gt;"",L480&lt;&gt;""),ROUND(K480*L480,3),"")</f>
        <v/>
      </c>
      <c r="N480" s="9" t="n"/>
      <c r="O480" s="9" t="n"/>
      <c r="P480" s="9" t="n"/>
      <c r="Q480" s="9" t="n"/>
      <c r="R480" s="9" t="n"/>
    </row>
    <row r="481" ht="18" customHeight="1">
      <c r="A481" s="10" t="n"/>
      <c r="B481" s="10" t="n"/>
      <c r="C481" s="10" t="n"/>
      <c r="D481" s="10" t="n"/>
      <c r="E481" s="10" t="n"/>
      <c r="F481" s="10" t="n"/>
      <c r="G481" s="10" t="n"/>
      <c r="H481" s="10" t="n"/>
      <c r="I481" s="10" t="n"/>
      <c r="J481" s="10" t="n"/>
      <c r="K481" s="10">
        <f>IF(AND(D481&lt;&gt;"",H481&lt;&gt;""),ROUND(D481/H481,3),"")</f>
        <v/>
      </c>
      <c r="L481" s="10">
        <f>IF(AND(K481&lt;&gt;"",I481&lt;&gt;""),ROUND(K481/(I481/60),2),"")</f>
        <v/>
      </c>
      <c r="M481" s="10">
        <f>IF(AND(K481&lt;&gt;"",L481&lt;&gt;""),ROUND(K481*L481,3),"")</f>
        <v/>
      </c>
      <c r="N481" s="10" t="n"/>
      <c r="O481" s="10" t="n"/>
      <c r="P481" s="10" t="n"/>
      <c r="Q481" s="10" t="n"/>
      <c r="R481" s="10" t="n"/>
    </row>
    <row r="482" ht="18" customHeight="1">
      <c r="A482" s="9" t="n"/>
      <c r="B482" s="9" t="n"/>
      <c r="C482" s="9" t="n"/>
      <c r="D482" s="9" t="n"/>
      <c r="E482" s="9" t="n"/>
      <c r="F482" s="9" t="n"/>
      <c r="G482" s="9" t="n"/>
      <c r="H482" s="9" t="n"/>
      <c r="I482" s="9" t="n"/>
      <c r="J482" s="9" t="n"/>
      <c r="K482" s="9">
        <f>IF(AND(D482&lt;&gt;"",H482&lt;&gt;""),ROUND(D482/H482,3),"")</f>
        <v/>
      </c>
      <c r="L482" s="9">
        <f>IF(AND(K482&lt;&gt;"",I482&lt;&gt;""),ROUND(K482/(I482/60),2),"")</f>
        <v/>
      </c>
      <c r="M482" s="9">
        <f>IF(AND(K482&lt;&gt;"",L482&lt;&gt;""),ROUND(K482*L482,3),"")</f>
        <v/>
      </c>
      <c r="N482" s="9" t="n"/>
      <c r="O482" s="9" t="n"/>
      <c r="P482" s="9" t="n"/>
      <c r="Q482" s="9" t="n"/>
      <c r="R482" s="9" t="n"/>
    </row>
    <row r="483" ht="18" customHeight="1">
      <c r="A483" s="10" t="n"/>
      <c r="B483" s="10" t="n"/>
      <c r="C483" s="10" t="n"/>
      <c r="D483" s="10" t="n"/>
      <c r="E483" s="10" t="n"/>
      <c r="F483" s="10" t="n"/>
      <c r="G483" s="10" t="n"/>
      <c r="H483" s="10" t="n"/>
      <c r="I483" s="10" t="n"/>
      <c r="J483" s="10" t="n"/>
      <c r="K483" s="10">
        <f>IF(AND(D483&lt;&gt;"",H483&lt;&gt;""),ROUND(D483/H483,3),"")</f>
        <v/>
      </c>
      <c r="L483" s="10">
        <f>IF(AND(K483&lt;&gt;"",I483&lt;&gt;""),ROUND(K483/(I483/60),2),"")</f>
        <v/>
      </c>
      <c r="M483" s="10">
        <f>IF(AND(K483&lt;&gt;"",L483&lt;&gt;""),ROUND(K483*L483,3),"")</f>
        <v/>
      </c>
      <c r="N483" s="10" t="n"/>
      <c r="O483" s="10" t="n"/>
      <c r="P483" s="10" t="n"/>
      <c r="Q483" s="10" t="n"/>
      <c r="R483" s="10" t="n"/>
    </row>
    <row r="484" ht="18" customHeight="1">
      <c r="A484" s="9" t="n"/>
      <c r="B484" s="9" t="n"/>
      <c r="C484" s="9" t="n"/>
      <c r="D484" s="9" t="n"/>
      <c r="E484" s="9" t="n"/>
      <c r="F484" s="9" t="n"/>
      <c r="G484" s="9" t="n"/>
      <c r="H484" s="9" t="n"/>
      <c r="I484" s="9" t="n"/>
      <c r="J484" s="9" t="n"/>
      <c r="K484" s="9">
        <f>IF(AND(D484&lt;&gt;"",H484&lt;&gt;""),ROUND(D484/H484,3),"")</f>
        <v/>
      </c>
      <c r="L484" s="9">
        <f>IF(AND(K484&lt;&gt;"",I484&lt;&gt;""),ROUND(K484/(I484/60),2),"")</f>
        <v/>
      </c>
      <c r="M484" s="9">
        <f>IF(AND(K484&lt;&gt;"",L484&lt;&gt;""),ROUND(K484*L484,3),"")</f>
        <v/>
      </c>
      <c r="N484" s="9" t="n"/>
      <c r="O484" s="9" t="n"/>
      <c r="P484" s="9" t="n"/>
      <c r="Q484" s="9" t="n"/>
      <c r="R484" s="9" t="n"/>
    </row>
    <row r="485" ht="18" customHeight="1">
      <c r="A485" s="10" t="n"/>
      <c r="B485" s="10" t="n"/>
      <c r="C485" s="10" t="n"/>
      <c r="D485" s="10" t="n"/>
      <c r="E485" s="10" t="n"/>
      <c r="F485" s="10" t="n"/>
      <c r="G485" s="10" t="n"/>
      <c r="H485" s="10" t="n"/>
      <c r="I485" s="10" t="n"/>
      <c r="J485" s="10" t="n"/>
      <c r="K485" s="10">
        <f>IF(AND(D485&lt;&gt;"",H485&lt;&gt;""),ROUND(D485/H485,3),"")</f>
        <v/>
      </c>
      <c r="L485" s="10">
        <f>IF(AND(K485&lt;&gt;"",I485&lt;&gt;""),ROUND(K485/(I485/60),2),"")</f>
        <v/>
      </c>
      <c r="M485" s="10">
        <f>IF(AND(K485&lt;&gt;"",L485&lt;&gt;""),ROUND(K485*L485,3),"")</f>
        <v/>
      </c>
      <c r="N485" s="10" t="n"/>
      <c r="O485" s="10" t="n"/>
      <c r="P485" s="10" t="n"/>
      <c r="Q485" s="10" t="n"/>
      <c r="R485" s="10" t="n"/>
    </row>
    <row r="486" ht="18" customHeight="1">
      <c r="A486" s="9" t="n"/>
      <c r="B486" s="9" t="n"/>
      <c r="C486" s="9" t="n"/>
      <c r="D486" s="9" t="n"/>
      <c r="E486" s="9" t="n"/>
      <c r="F486" s="9" t="n"/>
      <c r="G486" s="9" t="n"/>
      <c r="H486" s="9" t="n"/>
      <c r="I486" s="9" t="n"/>
      <c r="J486" s="9" t="n"/>
      <c r="K486" s="9">
        <f>IF(AND(D486&lt;&gt;"",H486&lt;&gt;""),ROUND(D486/H486,3),"")</f>
        <v/>
      </c>
      <c r="L486" s="9">
        <f>IF(AND(K486&lt;&gt;"",I486&lt;&gt;""),ROUND(K486/(I486/60),2),"")</f>
        <v/>
      </c>
      <c r="M486" s="9">
        <f>IF(AND(K486&lt;&gt;"",L486&lt;&gt;""),ROUND(K486*L486,3),"")</f>
        <v/>
      </c>
      <c r="N486" s="9" t="n"/>
      <c r="O486" s="9" t="n"/>
      <c r="P486" s="9" t="n"/>
      <c r="Q486" s="9" t="n"/>
      <c r="R486" s="9" t="n"/>
    </row>
    <row r="487" ht="18" customHeight="1">
      <c r="A487" s="10" t="n"/>
      <c r="B487" s="10" t="n"/>
      <c r="C487" s="10" t="n"/>
      <c r="D487" s="10" t="n"/>
      <c r="E487" s="10" t="n"/>
      <c r="F487" s="10" t="n"/>
      <c r="G487" s="10" t="n"/>
      <c r="H487" s="10" t="n"/>
      <c r="I487" s="10" t="n"/>
      <c r="J487" s="10" t="n"/>
      <c r="K487" s="10">
        <f>IF(AND(D487&lt;&gt;"",H487&lt;&gt;""),ROUND(D487/H487,3),"")</f>
        <v/>
      </c>
      <c r="L487" s="10">
        <f>IF(AND(K487&lt;&gt;"",I487&lt;&gt;""),ROUND(K487/(I487/60),2),"")</f>
        <v/>
      </c>
      <c r="M487" s="10">
        <f>IF(AND(K487&lt;&gt;"",L487&lt;&gt;""),ROUND(K487*L487,3),"")</f>
        <v/>
      </c>
      <c r="N487" s="10" t="n"/>
      <c r="O487" s="10" t="n"/>
      <c r="P487" s="10" t="n"/>
      <c r="Q487" s="10" t="n"/>
      <c r="R487" s="10" t="n"/>
    </row>
    <row r="488" ht="18" customHeight="1">
      <c r="A488" s="9" t="n"/>
      <c r="B488" s="9" t="n"/>
      <c r="C488" s="9" t="n"/>
      <c r="D488" s="9" t="n"/>
      <c r="E488" s="9" t="n"/>
      <c r="F488" s="9" t="n"/>
      <c r="G488" s="9" t="n"/>
      <c r="H488" s="9" t="n"/>
      <c r="I488" s="9" t="n"/>
      <c r="J488" s="9" t="n"/>
      <c r="K488" s="9">
        <f>IF(AND(D488&lt;&gt;"",H488&lt;&gt;""),ROUND(D488/H488,3),"")</f>
        <v/>
      </c>
      <c r="L488" s="9">
        <f>IF(AND(K488&lt;&gt;"",I488&lt;&gt;""),ROUND(K488/(I488/60),2),"")</f>
        <v/>
      </c>
      <c r="M488" s="9">
        <f>IF(AND(K488&lt;&gt;"",L488&lt;&gt;""),ROUND(K488*L488,3),"")</f>
        <v/>
      </c>
      <c r="N488" s="9" t="n"/>
      <c r="O488" s="9" t="n"/>
      <c r="P488" s="9" t="n"/>
      <c r="Q488" s="9" t="n"/>
      <c r="R488" s="9" t="n"/>
    </row>
    <row r="489" ht="18" customHeight="1">
      <c r="A489" s="10" t="n"/>
      <c r="B489" s="10" t="n"/>
      <c r="C489" s="10" t="n"/>
      <c r="D489" s="10" t="n"/>
      <c r="E489" s="10" t="n"/>
      <c r="F489" s="10" t="n"/>
      <c r="G489" s="10" t="n"/>
      <c r="H489" s="10" t="n"/>
      <c r="I489" s="10" t="n"/>
      <c r="J489" s="10" t="n"/>
      <c r="K489" s="10">
        <f>IF(AND(D489&lt;&gt;"",H489&lt;&gt;""),ROUND(D489/H489,3),"")</f>
        <v/>
      </c>
      <c r="L489" s="10">
        <f>IF(AND(K489&lt;&gt;"",I489&lt;&gt;""),ROUND(K489/(I489/60),2),"")</f>
        <v/>
      </c>
      <c r="M489" s="10">
        <f>IF(AND(K489&lt;&gt;"",L489&lt;&gt;""),ROUND(K489*L489,3),"")</f>
        <v/>
      </c>
      <c r="N489" s="10" t="n"/>
      <c r="O489" s="10" t="n"/>
      <c r="P489" s="10" t="n"/>
      <c r="Q489" s="10" t="n"/>
      <c r="R489" s="10" t="n"/>
    </row>
    <row r="490" ht="18" customHeight="1">
      <c r="A490" s="9" t="n"/>
      <c r="B490" s="9" t="n"/>
      <c r="C490" s="9" t="n"/>
      <c r="D490" s="9" t="n"/>
      <c r="E490" s="9" t="n"/>
      <c r="F490" s="9" t="n"/>
      <c r="G490" s="9" t="n"/>
      <c r="H490" s="9" t="n"/>
      <c r="I490" s="9" t="n"/>
      <c r="J490" s="9" t="n"/>
      <c r="K490" s="9">
        <f>IF(AND(D490&lt;&gt;"",H490&lt;&gt;""),ROUND(D490/H490,3),"")</f>
        <v/>
      </c>
      <c r="L490" s="9">
        <f>IF(AND(K490&lt;&gt;"",I490&lt;&gt;""),ROUND(K490/(I490/60),2),"")</f>
        <v/>
      </c>
      <c r="M490" s="9">
        <f>IF(AND(K490&lt;&gt;"",L490&lt;&gt;""),ROUND(K490*L490,3),"")</f>
        <v/>
      </c>
      <c r="N490" s="9" t="n"/>
      <c r="O490" s="9" t="n"/>
      <c r="P490" s="9" t="n"/>
      <c r="Q490" s="9" t="n"/>
      <c r="R490" s="9" t="n"/>
    </row>
    <row r="491" ht="18" customHeight="1">
      <c r="A491" s="10" t="n"/>
      <c r="B491" s="10" t="n"/>
      <c r="C491" s="10" t="n"/>
      <c r="D491" s="10" t="n"/>
      <c r="E491" s="10" t="n"/>
      <c r="F491" s="10" t="n"/>
      <c r="G491" s="10" t="n"/>
      <c r="H491" s="10" t="n"/>
      <c r="I491" s="10" t="n"/>
      <c r="J491" s="10" t="n"/>
      <c r="K491" s="10">
        <f>IF(AND(D491&lt;&gt;"",H491&lt;&gt;""),ROUND(D491/H491,3),"")</f>
        <v/>
      </c>
      <c r="L491" s="10">
        <f>IF(AND(K491&lt;&gt;"",I491&lt;&gt;""),ROUND(K491/(I491/60),2),"")</f>
        <v/>
      </c>
      <c r="M491" s="10">
        <f>IF(AND(K491&lt;&gt;"",L491&lt;&gt;""),ROUND(K491*L491,3),"")</f>
        <v/>
      </c>
      <c r="N491" s="10" t="n"/>
      <c r="O491" s="10" t="n"/>
      <c r="P491" s="10" t="n"/>
      <c r="Q491" s="10" t="n"/>
      <c r="R491" s="10" t="n"/>
    </row>
    <row r="492" ht="18" customHeight="1">
      <c r="A492" s="9" t="n"/>
      <c r="B492" s="9" t="n"/>
      <c r="C492" s="9" t="n"/>
      <c r="D492" s="9" t="n"/>
      <c r="E492" s="9" t="n"/>
      <c r="F492" s="9" t="n"/>
      <c r="G492" s="9" t="n"/>
      <c r="H492" s="9" t="n"/>
      <c r="I492" s="9" t="n"/>
      <c r="J492" s="9" t="n"/>
      <c r="K492" s="9">
        <f>IF(AND(D492&lt;&gt;"",H492&lt;&gt;""),ROUND(D492/H492,3),"")</f>
        <v/>
      </c>
      <c r="L492" s="9">
        <f>IF(AND(K492&lt;&gt;"",I492&lt;&gt;""),ROUND(K492/(I492/60),2),"")</f>
        <v/>
      </c>
      <c r="M492" s="9">
        <f>IF(AND(K492&lt;&gt;"",L492&lt;&gt;""),ROUND(K492*L492,3),"")</f>
        <v/>
      </c>
      <c r="N492" s="9" t="n"/>
      <c r="O492" s="9" t="n"/>
      <c r="P492" s="9" t="n"/>
      <c r="Q492" s="9" t="n"/>
      <c r="R492" s="9" t="n"/>
    </row>
    <row r="493" ht="18" customHeight="1">
      <c r="A493" s="10" t="n"/>
      <c r="B493" s="10" t="n"/>
      <c r="C493" s="10" t="n"/>
      <c r="D493" s="10" t="n"/>
      <c r="E493" s="10" t="n"/>
      <c r="F493" s="10" t="n"/>
      <c r="G493" s="10" t="n"/>
      <c r="H493" s="10" t="n"/>
      <c r="I493" s="10" t="n"/>
      <c r="J493" s="10" t="n"/>
      <c r="K493" s="10">
        <f>IF(AND(D493&lt;&gt;"",H493&lt;&gt;""),ROUND(D493/H493,3),"")</f>
        <v/>
      </c>
      <c r="L493" s="10">
        <f>IF(AND(K493&lt;&gt;"",I493&lt;&gt;""),ROUND(K493/(I493/60),2),"")</f>
        <v/>
      </c>
      <c r="M493" s="10">
        <f>IF(AND(K493&lt;&gt;"",L493&lt;&gt;""),ROUND(K493*L493,3),"")</f>
        <v/>
      </c>
      <c r="N493" s="10" t="n"/>
      <c r="O493" s="10" t="n"/>
      <c r="P493" s="10" t="n"/>
      <c r="Q493" s="10" t="n"/>
      <c r="R493" s="10" t="n"/>
    </row>
    <row r="494" ht="18" customHeight="1">
      <c r="A494" s="9" t="n"/>
      <c r="B494" s="9" t="n"/>
      <c r="C494" s="9" t="n"/>
      <c r="D494" s="9" t="n"/>
      <c r="E494" s="9" t="n"/>
      <c r="F494" s="9" t="n"/>
      <c r="G494" s="9" t="n"/>
      <c r="H494" s="9" t="n"/>
      <c r="I494" s="9" t="n"/>
      <c r="J494" s="9" t="n"/>
      <c r="K494" s="9">
        <f>IF(AND(D494&lt;&gt;"",H494&lt;&gt;""),ROUND(D494/H494,3),"")</f>
        <v/>
      </c>
      <c r="L494" s="9">
        <f>IF(AND(K494&lt;&gt;"",I494&lt;&gt;""),ROUND(K494/(I494/60),2),"")</f>
        <v/>
      </c>
      <c r="M494" s="9">
        <f>IF(AND(K494&lt;&gt;"",L494&lt;&gt;""),ROUND(K494*L494,3),"")</f>
        <v/>
      </c>
      <c r="N494" s="9" t="n"/>
      <c r="O494" s="9" t="n"/>
      <c r="P494" s="9" t="n"/>
      <c r="Q494" s="9" t="n"/>
      <c r="R494" s="9" t="n"/>
    </row>
    <row r="495" ht="18" customHeight="1">
      <c r="A495" s="10" t="n"/>
      <c r="B495" s="10" t="n"/>
      <c r="C495" s="10" t="n"/>
      <c r="D495" s="10" t="n"/>
      <c r="E495" s="10" t="n"/>
      <c r="F495" s="10" t="n"/>
      <c r="G495" s="10" t="n"/>
      <c r="H495" s="10" t="n"/>
      <c r="I495" s="10" t="n"/>
      <c r="J495" s="10" t="n"/>
      <c r="K495" s="10">
        <f>IF(AND(D495&lt;&gt;"",H495&lt;&gt;""),ROUND(D495/H495,3),"")</f>
        <v/>
      </c>
      <c r="L495" s="10">
        <f>IF(AND(K495&lt;&gt;"",I495&lt;&gt;""),ROUND(K495/(I495/60),2),"")</f>
        <v/>
      </c>
      <c r="M495" s="10">
        <f>IF(AND(K495&lt;&gt;"",L495&lt;&gt;""),ROUND(K495*L495,3),"")</f>
        <v/>
      </c>
      <c r="N495" s="10" t="n"/>
      <c r="O495" s="10" t="n"/>
      <c r="P495" s="10" t="n"/>
      <c r="Q495" s="10" t="n"/>
      <c r="R495" s="10" t="n"/>
    </row>
    <row r="496" ht="18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>
        <f>IF(AND(D496&lt;&gt;"",H496&lt;&gt;""),ROUND(D496/H496,3),"")</f>
        <v/>
      </c>
      <c r="L496" s="9">
        <f>IF(AND(K496&lt;&gt;"",I496&lt;&gt;""),ROUND(K496/(I496/60),2),"")</f>
        <v/>
      </c>
      <c r="M496" s="9">
        <f>IF(AND(K496&lt;&gt;"",L496&lt;&gt;""),ROUND(K496*L496,3),"")</f>
        <v/>
      </c>
      <c r="N496" s="9" t="n"/>
      <c r="O496" s="9" t="n"/>
      <c r="P496" s="9" t="n"/>
      <c r="Q496" s="9" t="n"/>
      <c r="R496" s="9" t="n"/>
    </row>
    <row r="497" ht="18" customHeight="1">
      <c r="A497" s="10" t="n"/>
      <c r="B497" s="10" t="n"/>
      <c r="C497" s="10" t="n"/>
      <c r="D497" s="10" t="n"/>
      <c r="E497" s="10" t="n"/>
      <c r="F497" s="10" t="n"/>
      <c r="G497" s="10" t="n"/>
      <c r="H497" s="10" t="n"/>
      <c r="I497" s="10" t="n"/>
      <c r="J497" s="10" t="n"/>
      <c r="K497" s="10">
        <f>IF(AND(D497&lt;&gt;"",H497&lt;&gt;""),ROUND(D497/H497,3),"")</f>
        <v/>
      </c>
      <c r="L497" s="10">
        <f>IF(AND(K497&lt;&gt;"",I497&lt;&gt;""),ROUND(K497/(I497/60),2),"")</f>
        <v/>
      </c>
      <c r="M497" s="10">
        <f>IF(AND(K497&lt;&gt;"",L497&lt;&gt;""),ROUND(K497*L497,3),"")</f>
        <v/>
      </c>
      <c r="N497" s="10" t="n"/>
      <c r="O497" s="10" t="n"/>
      <c r="P497" s="10" t="n"/>
      <c r="Q497" s="10" t="n"/>
      <c r="R497" s="10" t="n"/>
    </row>
    <row r="498" ht="18" customHeight="1">
      <c r="A498" s="9" t="n"/>
      <c r="B498" s="9" t="n"/>
      <c r="C498" s="9" t="n"/>
      <c r="D498" s="9" t="n"/>
      <c r="E498" s="9" t="n"/>
      <c r="F498" s="9" t="n"/>
      <c r="G498" s="9" t="n"/>
      <c r="H498" s="9" t="n"/>
      <c r="I498" s="9" t="n"/>
      <c r="J498" s="9" t="n"/>
      <c r="K498" s="9">
        <f>IF(AND(D498&lt;&gt;"",H498&lt;&gt;""),ROUND(D498/H498,3),"")</f>
        <v/>
      </c>
      <c r="L498" s="9">
        <f>IF(AND(K498&lt;&gt;"",I498&lt;&gt;""),ROUND(K498/(I498/60),2),"")</f>
        <v/>
      </c>
      <c r="M498" s="9">
        <f>IF(AND(K498&lt;&gt;"",L498&lt;&gt;""),ROUND(K498*L498,3),"")</f>
        <v/>
      </c>
      <c r="N498" s="9" t="n"/>
      <c r="O498" s="9" t="n"/>
      <c r="P498" s="9" t="n"/>
      <c r="Q498" s="9" t="n"/>
      <c r="R498" s="9" t="n"/>
    </row>
    <row r="499" ht="18" customHeight="1">
      <c r="A499" s="10" t="n"/>
      <c r="B499" s="10" t="n"/>
      <c r="C499" s="10" t="n"/>
      <c r="D499" s="10" t="n"/>
      <c r="E499" s="10" t="n"/>
      <c r="F499" s="10" t="n"/>
      <c r="G499" s="10" t="n"/>
      <c r="H499" s="10" t="n"/>
      <c r="I499" s="10" t="n"/>
      <c r="J499" s="10" t="n"/>
      <c r="K499" s="10">
        <f>IF(AND(D499&lt;&gt;"",H499&lt;&gt;""),ROUND(D499/H499,3),"")</f>
        <v/>
      </c>
      <c r="L499" s="10">
        <f>IF(AND(K499&lt;&gt;"",I499&lt;&gt;""),ROUND(K499/(I499/60),2),"")</f>
        <v/>
      </c>
      <c r="M499" s="10">
        <f>IF(AND(K499&lt;&gt;"",L499&lt;&gt;""),ROUND(K499*L499,3),"")</f>
        <v/>
      </c>
      <c r="N499" s="10" t="n"/>
      <c r="O499" s="10" t="n"/>
      <c r="P499" s="10" t="n"/>
      <c r="Q499" s="10" t="n"/>
      <c r="R499" s="10" t="n"/>
    </row>
    <row r="500" ht="18" customHeight="1">
      <c r="A500" s="9" t="n"/>
      <c r="B500" s="9" t="n"/>
      <c r="C500" s="9" t="n"/>
      <c r="D500" s="9" t="n"/>
      <c r="E500" s="9" t="n"/>
      <c r="F500" s="9" t="n"/>
      <c r="G500" s="9" t="n"/>
      <c r="H500" s="9" t="n"/>
      <c r="I500" s="9" t="n"/>
      <c r="J500" s="9" t="n"/>
      <c r="K500" s="9">
        <f>IF(AND(D500&lt;&gt;"",H500&lt;&gt;""),ROUND(D500/H500,3),"")</f>
        <v/>
      </c>
      <c r="L500" s="9">
        <f>IF(AND(K500&lt;&gt;"",I500&lt;&gt;""),ROUND(K500/(I500/60),2),"")</f>
        <v/>
      </c>
      <c r="M500" s="9">
        <f>IF(AND(K500&lt;&gt;"",L500&lt;&gt;""),ROUND(K500*L500,3),"")</f>
        <v/>
      </c>
      <c r="N500" s="9" t="n"/>
      <c r="O500" s="9" t="n"/>
      <c r="P500" s="9" t="n"/>
      <c r="Q500" s="9" t="n"/>
      <c r="R500" s="9" t="n"/>
    </row>
    <row r="501" ht="18" customHeight="1">
      <c r="A501" s="10" t="n"/>
      <c r="B501" s="10" t="n"/>
      <c r="C501" s="10" t="n"/>
      <c r="D501" s="10" t="n"/>
      <c r="E501" s="10" t="n"/>
      <c r="F501" s="10" t="n"/>
      <c r="G501" s="10" t="n"/>
      <c r="H501" s="10" t="n"/>
      <c r="I501" s="10" t="n"/>
      <c r="J501" s="10" t="n"/>
      <c r="K501" s="10">
        <f>IF(AND(D501&lt;&gt;"",H501&lt;&gt;""),ROUND(D501/H501,3),"")</f>
        <v/>
      </c>
      <c r="L501" s="10">
        <f>IF(AND(K501&lt;&gt;"",I501&lt;&gt;""),ROUND(K501/(I501/60),2),"")</f>
        <v/>
      </c>
      <c r="M501" s="10">
        <f>IF(AND(K501&lt;&gt;"",L501&lt;&gt;""),ROUND(K501*L501,3),"")</f>
        <v/>
      </c>
      <c r="N501" s="10" t="n"/>
      <c r="O501" s="10" t="n"/>
      <c r="P501" s="10" t="n"/>
      <c r="Q501" s="10" t="n"/>
      <c r="R501" s="10" t="n"/>
    </row>
    <row r="502" ht="18" customHeight="1">
      <c r="A502" s="9" t="n"/>
      <c r="B502" s="9" t="n"/>
      <c r="C502" s="9" t="n"/>
      <c r="D502" s="9" t="n"/>
      <c r="E502" s="9" t="n"/>
      <c r="F502" s="9" t="n"/>
      <c r="G502" s="9" t="n"/>
      <c r="H502" s="9" t="n"/>
      <c r="I502" s="9" t="n"/>
      <c r="J502" s="9" t="n"/>
      <c r="K502" s="9">
        <f>IF(AND(D502&lt;&gt;"",H502&lt;&gt;""),ROUND(D502/H502,3),"")</f>
        <v/>
      </c>
      <c r="L502" s="9">
        <f>IF(AND(K502&lt;&gt;"",I502&lt;&gt;""),ROUND(K502/(I502/60),2),"")</f>
        <v/>
      </c>
      <c r="M502" s="9">
        <f>IF(AND(K502&lt;&gt;"",L502&lt;&gt;""),ROUND(K502*L502,3),"")</f>
        <v/>
      </c>
      <c r="N502" s="9" t="n"/>
      <c r="O502" s="9" t="n"/>
      <c r="P502" s="9" t="n"/>
      <c r="Q502" s="9" t="n"/>
      <c r="R502" s="9" t="n"/>
    </row>
    <row r="503" ht="18" customHeight="1">
      <c r="A503" s="10" t="n"/>
      <c r="B503" s="10" t="n"/>
      <c r="C503" s="10" t="n"/>
      <c r="D503" s="10" t="n"/>
      <c r="E503" s="10" t="n"/>
      <c r="F503" s="10" t="n"/>
      <c r="G503" s="10" t="n"/>
      <c r="H503" s="10" t="n"/>
      <c r="I503" s="10" t="n"/>
      <c r="J503" s="10" t="n"/>
      <c r="K503" s="10">
        <f>IF(AND(D503&lt;&gt;"",H503&lt;&gt;""),ROUND(D503/H503,3),"")</f>
        <v/>
      </c>
      <c r="L503" s="10">
        <f>IF(AND(K503&lt;&gt;"",I503&lt;&gt;""),ROUND(K503/(I503/60),2),"")</f>
        <v/>
      </c>
      <c r="M503" s="10">
        <f>IF(AND(K503&lt;&gt;"",L503&lt;&gt;""),ROUND(K503*L503,3),"")</f>
        <v/>
      </c>
      <c r="N503" s="10" t="n"/>
      <c r="O503" s="10" t="n"/>
      <c r="P503" s="10" t="n"/>
      <c r="Q503" s="10" t="n"/>
      <c r="R503" s="10" t="n"/>
    </row>
  </sheetData>
  <mergeCells count="5">
    <mergeCell ref="A2:E2"/>
    <mergeCell ref="P2:R2"/>
    <mergeCell ref="K2:O2"/>
    <mergeCell ref="A1:R1"/>
    <mergeCell ref="F2:J2"/>
  </mergeCells>
  <conditionalFormatting sqref="L4:L503">
    <cfRule type="colorScale" priority="1">
      <colorScale>
        <cfvo type="min"/>
        <cfvo type="percentile" val="50"/>
        <cfvo type="max"/>
        <color rgb="00FCEBEB"/>
        <color rgb="00FAEEDA"/>
        <color rgb="00EAF3DE"/>
      </colorScale>
    </cfRule>
  </conditionalFormatting>
  <conditionalFormatting sqref="N4:N503">
    <cfRule type="colorScale" priority="2">
      <colorScale>
        <cfvo type="num" val="1.8"/>
        <cfvo type="num" val="1.95"/>
        <cfvo type="num" val="2.2"/>
        <color rgb="00FCEBEB"/>
        <color rgb="00FAEEDA"/>
        <color rgb="00EAF3D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3" customWidth="1" min="3" max="3"/>
    <col width="8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9" customWidth="1" min="10" max="10"/>
    <col width="11" customWidth="1" min="11" max="11"/>
    <col width="12" customWidth="1" min="12" max="12"/>
    <col width="10" customWidth="1" min="13" max="13"/>
    <col width="10" customWidth="1" min="14" max="14"/>
    <col width="11" customWidth="1" min="15" max="15"/>
    <col width="13" customWidth="1" min="16" max="16"/>
    <col width="13" customWidth="1" min="17" max="17"/>
    <col width="12" customWidth="1" min="18" max="18"/>
    <col width="13" customWidth="1" min="19" max="19"/>
    <col width="12" customWidth="1" min="20" max="20"/>
    <col width="11" customWidth="1" min="21" max="21"/>
    <col width="24" customWidth="1" min="22" max="22"/>
  </cols>
  <sheetData>
    <row r="1" ht="34" customHeight="1">
      <c r="A1" s="1" t="inlineStr">
        <is>
          <t>NICHOLAS — ANÁLISE SEMANAL DE CARGA  |  Monotonia, Strain e Cinemática</t>
        </is>
      </c>
    </row>
    <row r="2" ht="22" customHeight="1">
      <c r="A2" s="2" t="inlineStr">
        <is>
          <t>Período</t>
        </is>
      </c>
      <c r="D2" s="3" t="inlineStr">
        <is>
          <t>Carga externa</t>
        </is>
      </c>
      <c r="K2" s="4" t="inlineStr">
        <is>
          <t>Carga interna</t>
        </is>
      </c>
      <c r="P2" s="3" t="inlineStr">
        <is>
          <t>Cinemática média</t>
        </is>
      </c>
      <c r="T2" s="5" t="inlineStr">
        <is>
          <t>Status</t>
        </is>
      </c>
    </row>
    <row r="3" ht="34" customHeight="1">
      <c r="A3" s="8" t="inlineStr">
        <is>
          <t>Semana</t>
        </is>
      </c>
      <c r="B3" s="8" t="inlineStr">
        <is>
          <t>Início</t>
        </is>
      </c>
      <c r="C3" s="8" t="inlineStr">
        <is>
          <t>Fim</t>
        </is>
      </c>
      <c r="D3" s="8" t="inlineStr">
        <is>
          <t>Sessões</t>
        </is>
      </c>
      <c r="E3" s="8" t="inlineStr">
        <is>
          <t>Vol Total
(m)</t>
        </is>
      </c>
      <c r="F3" s="8" t="inlineStr">
        <is>
          <t>Vol AllOut
(m)</t>
        </is>
      </c>
      <c r="G3" s="8" t="inlineStr">
        <is>
          <t>Vol Resist.
(m)</t>
        </is>
      </c>
      <c r="H3" s="8" t="inlineStr">
        <is>
          <t>Vol RTM
(m)</t>
        </is>
      </c>
      <c r="I3" s="8" t="inlineStr">
        <is>
          <t>N° AllOut
Total</t>
        </is>
      </c>
      <c r="J3" s="8" t="inlineStr">
        <is>
          <t>N° Saídas</t>
        </is>
      </c>
      <c r="K3" s="8" t="inlineStr">
        <is>
          <t>Dens. Méd.
(m/min)</t>
        </is>
      </c>
      <c r="L3" s="8" t="inlineStr">
        <is>
          <t>TRIMP
Total (UA)</t>
        </is>
      </c>
      <c r="M3" s="8" t="inlineStr">
        <is>
          <t>PSE
Média</t>
        </is>
      </c>
      <c r="N3" s="8" t="inlineStr">
        <is>
          <t>Monotonia</t>
        </is>
      </c>
      <c r="O3" s="8" t="inlineStr">
        <is>
          <t>Strain
(UA)</t>
        </is>
      </c>
      <c r="P3" s="8" t="inlineStr">
        <is>
          <t>Δ TRIMP
vs ant. (%)</t>
        </is>
      </c>
      <c r="Q3" s="8" t="inlineStr">
        <is>
          <t>DPC Méd
Bo (m/ciclo)</t>
        </is>
      </c>
      <c r="R3" s="8" t="inlineStr">
        <is>
          <t>FB Méd
Bo (cpm)</t>
        </is>
      </c>
      <c r="S3" s="8" t="inlineStr">
        <is>
          <t>Vel Sup
Méd (m/s)</t>
        </is>
      </c>
      <c r="T3" s="8" t="inlineStr">
        <is>
          <t>IN Méd
(m²/ciclo)</t>
        </is>
      </c>
      <c r="U3" s="8" t="inlineStr">
        <is>
          <t>Alerta
Carga</t>
        </is>
      </c>
      <c r="V3" s="8" t="inlineStr">
        <is>
          <t>Observação</t>
        </is>
      </c>
    </row>
    <row r="4" ht="18" customHeight="1">
      <c r="A4" s="9" t="inlineStr">
        <is>
          <t>S11</t>
        </is>
      </c>
      <c r="B4" s="9" t="inlineStr">
        <is>
          <t>2025-03-09</t>
        </is>
      </c>
      <c r="C4" s="9" t="inlineStr">
        <is>
          <t>2025-03-13</t>
        </is>
      </c>
      <c r="D4" s="9" t="n">
        <v>5</v>
      </c>
      <c r="E4" s="9" t="n">
        <v>12410</v>
      </c>
      <c r="F4" s="9" t="n">
        <v>360</v>
      </c>
      <c r="G4" s="9" t="n">
        <v>200</v>
      </c>
      <c r="H4" s="9" t="n">
        <v>110</v>
      </c>
      <c r="I4" s="9" t="n">
        <v>8</v>
      </c>
      <c r="J4" s="9" t="n">
        <v>5</v>
      </c>
      <c r="K4" s="9" t="n">
        <v>26.8</v>
      </c>
      <c r="L4" s="9" t="n">
        <v>1544</v>
      </c>
      <c r="M4" s="9" t="n">
        <v>3.6</v>
      </c>
      <c r="N4" s="9" t="n"/>
      <c r="O4" s="9" t="n"/>
      <c r="P4" s="9" t="n"/>
      <c r="Q4" s="9" t="n">
        <v>2.26</v>
      </c>
      <c r="R4" s="9" t="n">
        <v>57.8</v>
      </c>
      <c r="S4" s="9" t="n"/>
      <c r="T4" s="9" t="n">
        <v>5.1</v>
      </c>
      <c r="U4" s="9">
        <f>IF(AND(M4="",N4=""),"",IF(OR(N4&gt;2,O4&gt;9000),"CRÍTICO",IF(OR(N4&gt;1.5,O4&gt;6000),"ATENÇÃO","OK")))</f>
        <v/>
      </c>
      <c r="V4" s="9" t="inlineStr">
        <is>
          <t>Semana de base</t>
        </is>
      </c>
    </row>
    <row r="5" ht="18" customHeight="1">
      <c r="A5" s="10" t="inlineStr">
        <is>
          <t>S15</t>
        </is>
      </c>
      <c r="B5" s="10" t="inlineStr">
        <is>
          <t>2026-04-13</t>
        </is>
      </c>
      <c r="C5" s="10" t="inlineStr">
        <is>
          <t>2026-04-13</t>
        </is>
      </c>
      <c r="D5" s="10" t="n">
        <v>1</v>
      </c>
      <c r="E5" s="10" t="n">
        <v>2400</v>
      </c>
      <c r="F5" s="10" t="n">
        <v>560</v>
      </c>
      <c r="G5" s="10" t="n">
        <v>200</v>
      </c>
      <c r="H5" s="10" t="n">
        <v>110</v>
      </c>
      <c r="I5" s="10" t="n">
        <v>20</v>
      </c>
      <c r="J5" s="10" t="n">
        <v>3</v>
      </c>
      <c r="K5" s="10" t="n">
        <v>17.6</v>
      </c>
      <c r="L5" s="10" t="n">
        <v>952</v>
      </c>
      <c r="M5" s="10" t="n">
        <v>7</v>
      </c>
      <c r="N5" s="10" t="n"/>
      <c r="O5" s="10" t="n"/>
      <c r="P5" s="10" t="n"/>
      <c r="Q5" s="10" t="n">
        <v>2.09</v>
      </c>
      <c r="R5" s="10" t="n">
        <v>56.2</v>
      </c>
      <c r="S5" s="10" t="n">
        <v>1.96</v>
      </c>
      <c r="T5" s="10" t="n">
        <v>5</v>
      </c>
      <c r="U5" s="10">
        <f>IF(AND(M5="",N5=""),"",IF(OR(N5&gt;2,O5&gt;9000),"CRÍTICO",IF(OR(N5&gt;1.5,O5&gt;6000),"ATENÇÃO","OK")))</f>
        <v/>
      </c>
      <c r="V5" s="10" t="inlineStr">
        <is>
          <t>Sessão alta carga — TRIMP 952 UA — monitorar 48h</t>
        </is>
      </c>
    </row>
    <row r="6" ht="18" customHeight="1">
      <c r="A6" s="9" t="n"/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>
        <f>IF(AND(M6="",N6=""),"",IF(OR(N6&gt;2,O6&gt;9000),"CRÍTICO",IF(OR(N6&gt;1.5,O6&gt;6000),"ATENÇÃO","OK")))</f>
        <v/>
      </c>
      <c r="V6" s="9" t="n"/>
    </row>
    <row r="7" ht="18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>
        <f>IF(AND(M7="",N7=""),"",IF(OR(N7&gt;2,O7&gt;9000),"CRÍTICO",IF(OR(N7&gt;1.5,O7&gt;6000),"ATENÇÃO","OK")))</f>
        <v/>
      </c>
      <c r="V7" s="10" t="n"/>
    </row>
    <row r="8" ht="18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>
        <f>IF(AND(M8="",N8=""),"",IF(OR(N8&gt;2,O8&gt;9000),"CRÍTICO",IF(OR(N8&gt;1.5,O8&gt;6000),"ATENÇÃO","OK")))</f>
        <v/>
      </c>
      <c r="V8" s="9" t="n"/>
    </row>
    <row r="9" ht="18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>
        <f>IF(AND(M9="",N9=""),"",IF(OR(N9&gt;2,O9&gt;9000),"CRÍTICO",IF(OR(N9&gt;1.5,O9&gt;6000),"ATENÇÃO","OK")))</f>
        <v/>
      </c>
      <c r="V9" s="10" t="n"/>
    </row>
    <row r="10" ht="18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>
        <f>IF(AND(M10="",N10=""),"",IF(OR(N10&gt;2,O10&gt;9000),"CRÍTICO",IF(OR(N10&gt;1.5,O10&gt;6000),"ATENÇÃO","OK")))</f>
        <v/>
      </c>
      <c r="V10" s="9" t="n"/>
    </row>
    <row r="11" ht="18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>
        <f>IF(AND(M11="",N11=""),"",IF(OR(N11&gt;2,O11&gt;9000),"CRÍTICO",IF(OR(N11&gt;1.5,O11&gt;6000),"ATENÇÃO","OK")))</f>
        <v/>
      </c>
      <c r="V11" s="10" t="n"/>
    </row>
    <row r="12" ht="18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>
        <f>IF(AND(M12="",N12=""),"",IF(OR(N12&gt;2,O12&gt;9000),"CRÍTICO",IF(OR(N12&gt;1.5,O12&gt;6000),"ATENÇÃO","OK")))</f>
        <v/>
      </c>
      <c r="V12" s="9" t="n"/>
    </row>
    <row r="13" ht="18" customHeight="1">
      <c r="A13" s="10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>
        <f>IF(AND(M13="",N13=""),"",IF(OR(N13&gt;2,O13&gt;9000),"CRÍTICO",IF(OR(N13&gt;1.5,O13&gt;6000),"ATENÇÃO","OK")))</f>
        <v/>
      </c>
      <c r="V13" s="10" t="n"/>
    </row>
    <row r="14" ht="18" customHeight="1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>
        <f>IF(AND(M14="",N14=""),"",IF(OR(N14&gt;2,O14&gt;9000),"CRÍTICO",IF(OR(N14&gt;1.5,O14&gt;6000),"ATENÇÃO","OK")))</f>
        <v/>
      </c>
      <c r="V14" s="9" t="n"/>
    </row>
    <row r="15" ht="18" customHeight="1">
      <c r="A15" s="10" t="n"/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>
        <f>IF(AND(M15="",N15=""),"",IF(OR(N15&gt;2,O15&gt;9000),"CRÍTICO",IF(OR(N15&gt;1.5,O15&gt;6000),"ATENÇÃO","OK")))</f>
        <v/>
      </c>
      <c r="V15" s="10" t="n"/>
    </row>
    <row r="16" ht="18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>
        <f>IF(AND(M16="",N16=""),"",IF(OR(N16&gt;2,O16&gt;9000),"CRÍTICO",IF(OR(N16&gt;1.5,O16&gt;6000),"ATENÇÃO","OK")))</f>
        <v/>
      </c>
      <c r="V16" s="9" t="n"/>
    </row>
    <row r="17" ht="18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>
        <f>IF(AND(M17="",N17=""),"",IF(OR(N17&gt;2,O17&gt;9000),"CRÍTICO",IF(OR(N17&gt;1.5,O17&gt;6000),"ATENÇÃO","OK")))</f>
        <v/>
      </c>
      <c r="V17" s="10" t="n"/>
    </row>
    <row r="18" ht="18" customHeight="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>
        <f>IF(AND(M18="",N18=""),"",IF(OR(N18&gt;2,O18&gt;9000),"CRÍTICO",IF(OR(N18&gt;1.5,O18&gt;6000),"ATENÇÃO","OK")))</f>
        <v/>
      </c>
      <c r="V18" s="9" t="n"/>
    </row>
    <row r="19" ht="18" customHeight="1">
      <c r="A19" s="10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>
        <f>IF(AND(M19="",N19=""),"",IF(OR(N19&gt;2,O19&gt;9000),"CRÍTICO",IF(OR(N19&gt;1.5,O19&gt;6000),"ATENÇÃO","OK")))</f>
        <v/>
      </c>
      <c r="V19" s="10" t="n"/>
    </row>
    <row r="20" ht="18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>
        <f>IF(AND(M20="",N20=""),"",IF(OR(N20&gt;2,O20&gt;9000),"CRÍTICO",IF(OR(N20&gt;1.5,O20&gt;6000),"ATENÇÃO","OK")))</f>
        <v/>
      </c>
      <c r="V20" s="9" t="n"/>
    </row>
    <row r="21" ht="18" customHeight="1">
      <c r="A21" s="10" t="n"/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>
        <f>IF(AND(M21="",N21=""),"",IF(OR(N21&gt;2,O21&gt;9000),"CRÍTICO",IF(OR(N21&gt;1.5,O21&gt;6000),"ATENÇÃO","OK")))</f>
        <v/>
      </c>
      <c r="V21" s="10" t="n"/>
    </row>
    <row r="22" ht="18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>
        <f>IF(AND(M22="",N22=""),"",IF(OR(N22&gt;2,O22&gt;9000),"CRÍTICO",IF(OR(N22&gt;1.5,O22&gt;6000),"ATENÇÃO","OK")))</f>
        <v/>
      </c>
      <c r="V22" s="9" t="n"/>
    </row>
    <row r="23" ht="18" customHeight="1">
      <c r="A23" s="10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>
        <f>IF(AND(M23="",N23=""),"",IF(OR(N23&gt;2,O23&gt;9000),"CRÍTICO",IF(OR(N23&gt;1.5,O23&gt;6000),"ATENÇÃO","OK")))</f>
        <v/>
      </c>
      <c r="V23" s="10" t="n"/>
    </row>
    <row r="24" ht="18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>
        <f>IF(AND(M24="",N24=""),"",IF(OR(N24&gt;2,O24&gt;9000),"CRÍTICO",IF(OR(N24&gt;1.5,O24&gt;6000),"ATENÇÃO","OK")))</f>
        <v/>
      </c>
      <c r="V24" s="9" t="n"/>
    </row>
    <row r="25" ht="18" customHeight="1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>
        <f>IF(AND(M25="",N25=""),"",IF(OR(N25&gt;2,O25&gt;9000),"CRÍTICO",IF(OR(N25&gt;1.5,O25&gt;6000),"ATENÇÃO","OK")))</f>
        <v/>
      </c>
      <c r="V25" s="10" t="n"/>
    </row>
    <row r="26" ht="18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>
        <f>IF(AND(M26="",N26=""),"",IF(OR(N26&gt;2,O26&gt;9000),"CRÍTICO",IF(OR(N26&gt;1.5,O26&gt;6000),"ATENÇÃO","OK")))</f>
        <v/>
      </c>
      <c r="V26" s="9" t="n"/>
    </row>
    <row r="27" ht="18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>
        <f>IF(AND(M27="",N27=""),"",IF(OR(N27&gt;2,O27&gt;9000),"CRÍTICO",IF(OR(N27&gt;1.5,O27&gt;6000),"ATENÇÃO","OK")))</f>
        <v/>
      </c>
      <c r="V27" s="10" t="n"/>
    </row>
    <row r="28" ht="18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>
        <f>IF(AND(M28="",N28=""),"",IF(OR(N28&gt;2,O28&gt;9000),"CRÍTICO",IF(OR(N28&gt;1.5,O28&gt;6000),"ATENÇÃO","OK")))</f>
        <v/>
      </c>
      <c r="V28" s="9" t="n"/>
    </row>
    <row r="29" ht="18" customHeight="1">
      <c r="A29" s="10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>
        <f>IF(AND(M29="",N29=""),"",IF(OR(N29&gt;2,O29&gt;9000),"CRÍTICO",IF(OR(N29&gt;1.5,O29&gt;6000),"ATENÇÃO","OK")))</f>
        <v/>
      </c>
      <c r="V29" s="10" t="n"/>
    </row>
    <row r="30" ht="18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>
        <f>IF(AND(M30="",N30=""),"",IF(OR(N30&gt;2,O30&gt;9000),"CRÍTICO",IF(OR(N30&gt;1.5,O30&gt;6000),"ATENÇÃO","OK")))</f>
        <v/>
      </c>
      <c r="V30" s="9" t="n"/>
    </row>
    <row r="31" ht="18" customHeight="1">
      <c r="A31" s="10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>
        <f>IF(AND(M31="",N31=""),"",IF(OR(N31&gt;2,O31&gt;9000),"CRÍTICO",IF(OR(N31&gt;1.5,O31&gt;6000),"ATENÇÃO","OK")))</f>
        <v/>
      </c>
      <c r="V31" s="10" t="n"/>
    </row>
    <row r="32" ht="18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>
        <f>IF(AND(M32="",N32=""),"",IF(OR(N32&gt;2,O32&gt;9000),"CRÍTICO",IF(OR(N32&gt;1.5,O32&gt;6000),"ATENÇÃO","OK")))</f>
        <v/>
      </c>
      <c r="V32" s="9" t="n"/>
    </row>
    <row r="33" ht="18" customHeight="1">
      <c r="A33" s="10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>
        <f>IF(AND(M33="",N33=""),"",IF(OR(N33&gt;2,O33&gt;9000),"CRÍTICO",IF(OR(N33&gt;1.5,O33&gt;6000),"ATENÇÃO","OK")))</f>
        <v/>
      </c>
      <c r="V33" s="10" t="n"/>
    </row>
    <row r="34" ht="18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>
        <f>IF(AND(M34="",N34=""),"",IF(OR(N34&gt;2,O34&gt;9000),"CRÍTICO",IF(OR(N34&gt;1.5,O34&gt;6000),"ATENÇÃO","OK")))</f>
        <v/>
      </c>
      <c r="V34" s="9" t="n"/>
    </row>
    <row r="35" ht="18" customHeight="1">
      <c r="A35" s="10" t="n"/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>
        <f>IF(AND(M35="",N35=""),"",IF(OR(N35&gt;2,O35&gt;9000),"CRÍTICO",IF(OR(N35&gt;1.5,O35&gt;6000),"ATENÇÃO","OK")))</f>
        <v/>
      </c>
      <c r="V35" s="10" t="n"/>
    </row>
    <row r="36" ht="18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>
        <f>IF(AND(M36="",N36=""),"",IF(OR(N36&gt;2,O36&gt;9000),"CRÍTICO",IF(OR(N36&gt;1.5,O36&gt;6000),"ATENÇÃO","OK")))</f>
        <v/>
      </c>
      <c r="V36" s="9" t="n"/>
    </row>
    <row r="37" ht="18" customHeight="1">
      <c r="A37" s="10" t="n"/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>
        <f>IF(AND(M37="",N37=""),"",IF(OR(N37&gt;2,O37&gt;9000),"CRÍTICO",IF(OR(N37&gt;1.5,O37&gt;6000),"ATENÇÃO","OK")))</f>
        <v/>
      </c>
      <c r="V37" s="10" t="n"/>
    </row>
    <row r="38" ht="18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>
        <f>IF(AND(M38="",N38=""),"",IF(OR(N38&gt;2,O38&gt;9000),"CRÍTICO",IF(OR(N38&gt;1.5,O38&gt;6000),"ATENÇÃO","OK")))</f>
        <v/>
      </c>
      <c r="V38" s="9" t="n"/>
    </row>
    <row r="39" ht="18" customHeight="1">
      <c r="A39" s="10" t="n"/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>
        <f>IF(AND(M39="",N39=""),"",IF(OR(N39&gt;2,O39&gt;9000),"CRÍTICO",IF(OR(N39&gt;1.5,O39&gt;6000),"ATENÇÃO","OK")))</f>
        <v/>
      </c>
      <c r="V39" s="10" t="n"/>
    </row>
    <row r="40" ht="18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>
        <f>IF(AND(M40="",N40=""),"",IF(OR(N40&gt;2,O40&gt;9000),"CRÍTICO",IF(OR(N40&gt;1.5,O40&gt;6000),"ATENÇÃO","OK")))</f>
        <v/>
      </c>
      <c r="V40" s="9" t="n"/>
    </row>
    <row r="41" ht="18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>
        <f>IF(AND(M41="",N41=""),"",IF(OR(N41&gt;2,O41&gt;9000),"CRÍTICO",IF(OR(N41&gt;1.5,O41&gt;6000),"ATENÇÃO","OK")))</f>
        <v/>
      </c>
      <c r="V41" s="10" t="n"/>
    </row>
    <row r="42" ht="18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>
        <f>IF(AND(M42="",N42=""),"",IF(OR(N42&gt;2,O42&gt;9000),"CRÍTICO",IF(OR(N42&gt;1.5,O42&gt;6000),"ATENÇÃO","OK")))</f>
        <v/>
      </c>
      <c r="V42" s="9" t="n"/>
    </row>
    <row r="43" ht="18" customHeight="1">
      <c r="A43" s="10" t="n"/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>
        <f>IF(AND(M43="",N43=""),"",IF(OR(N43&gt;2,O43&gt;9000),"CRÍTICO",IF(OR(N43&gt;1.5,O43&gt;6000),"ATENÇÃO","OK")))</f>
        <v/>
      </c>
      <c r="V43" s="10" t="n"/>
    </row>
    <row r="44" ht="18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>
        <f>IF(AND(M44="",N44=""),"",IF(OR(N44&gt;2,O44&gt;9000),"CRÍTICO",IF(OR(N44&gt;1.5,O44&gt;6000),"ATENÇÃO","OK")))</f>
        <v/>
      </c>
      <c r="V44" s="9" t="n"/>
    </row>
    <row r="45" ht="18" customHeight="1">
      <c r="A45" s="10" t="n"/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>
        <f>IF(AND(M45="",N45=""),"",IF(OR(N45&gt;2,O45&gt;9000),"CRÍTICO",IF(OR(N45&gt;1.5,O45&gt;6000),"ATENÇÃO","OK")))</f>
        <v/>
      </c>
      <c r="V45" s="10" t="n"/>
    </row>
    <row r="46" ht="18" customHeight="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>
        <f>IF(AND(M46="",N46=""),"",IF(OR(N46&gt;2,O46&gt;9000),"CRÍTICO",IF(OR(N46&gt;1.5,O46&gt;6000),"ATENÇÃO","OK")))</f>
        <v/>
      </c>
      <c r="V46" s="9" t="n"/>
    </row>
    <row r="47" ht="18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>
        <f>IF(AND(M47="",N47=""),"",IF(OR(N47&gt;2,O47&gt;9000),"CRÍTICO",IF(OR(N47&gt;1.5,O47&gt;6000),"ATENÇÃO","OK")))</f>
        <v/>
      </c>
      <c r="V47" s="10" t="n"/>
    </row>
    <row r="48" ht="18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>
        <f>IF(AND(M48="",N48=""),"",IF(OR(N48&gt;2,O48&gt;9000),"CRÍTICO",IF(OR(N48&gt;1.5,O48&gt;6000),"ATENÇÃO","OK")))</f>
        <v/>
      </c>
      <c r="V48" s="9" t="n"/>
    </row>
    <row r="49" ht="18" customHeight="1">
      <c r="A49" s="10" t="n"/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>
        <f>IF(AND(M49="",N49=""),"",IF(OR(N49&gt;2,O49&gt;9000),"CRÍTICO",IF(OR(N49&gt;1.5,O49&gt;6000),"ATENÇÃO","OK")))</f>
        <v/>
      </c>
      <c r="V49" s="10" t="n"/>
    </row>
    <row r="50" ht="18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>
        <f>IF(AND(M50="",N50=""),"",IF(OR(N50&gt;2,O50&gt;9000),"CRÍTICO",IF(OR(N50&gt;1.5,O50&gt;6000),"ATENÇÃO","OK")))</f>
        <v/>
      </c>
      <c r="V50" s="9" t="n"/>
    </row>
    <row r="51" ht="18" customHeight="1">
      <c r="A51" s="10" t="n"/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>
        <f>IF(AND(M51="",N51=""),"",IF(OR(N51&gt;2,O51&gt;9000),"CRÍTICO",IF(OR(N51&gt;1.5,O51&gt;6000),"ATENÇÃO","OK")))</f>
        <v/>
      </c>
      <c r="V51" s="10" t="n"/>
    </row>
    <row r="52" ht="18" customHeight="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>
        <f>IF(AND(M52="",N52=""),"",IF(OR(N52&gt;2,O52&gt;9000),"CRÍTICO",IF(OR(N52&gt;1.5,O52&gt;6000),"ATENÇÃO","OK")))</f>
        <v/>
      </c>
      <c r="V52" s="9" t="n"/>
    </row>
    <row r="53" ht="18" customHeight="1">
      <c r="A53" s="10" t="n"/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>
        <f>IF(AND(M53="",N53=""),"",IF(OR(N53&gt;2,O53&gt;9000),"CRÍTICO",IF(OR(N53&gt;1.5,O53&gt;6000),"ATENÇÃO","OK")))</f>
        <v/>
      </c>
      <c r="V53" s="10" t="n"/>
    </row>
    <row r="54" ht="18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>
        <f>IF(AND(M54="",N54=""),"",IF(OR(N54&gt;2,O54&gt;9000),"CRÍTICO",IF(OR(N54&gt;1.5,O54&gt;6000),"ATENÇÃO","OK")))</f>
        <v/>
      </c>
      <c r="V54" s="9" t="n"/>
    </row>
    <row r="55" ht="18" customHeight="1">
      <c r="A55" s="10" t="n"/>
      <c r="B55" s="10" t="n"/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>
        <f>IF(AND(M55="",N55=""),"",IF(OR(N55&gt;2,O55&gt;9000),"CRÍTICO",IF(OR(N55&gt;1.5,O55&gt;6000),"ATENÇÃO","OK")))</f>
        <v/>
      </c>
      <c r="V55" s="10" t="n"/>
    </row>
  </sheetData>
  <mergeCells count="6">
    <mergeCell ref="T2:V2"/>
    <mergeCell ref="A1:V1"/>
    <mergeCell ref="K2:O2"/>
    <mergeCell ref="D2:J2"/>
    <mergeCell ref="P2:S2"/>
    <mergeCell ref="A2:C2"/>
  </mergeCells>
  <conditionalFormatting sqref="U4:U55">
    <cfRule type="cellIs" priority="1" operator="equal" dxfId="0">
      <formula>"OK"</formula>
    </cfRule>
    <cfRule type="cellIs" priority="2" operator="equal" dxfId="1">
      <formula>"ATENÇÃO"</formula>
    </cfRule>
    <cfRule type="cellIs" priority="3" operator="equal" dxfId="2">
      <formula>"CRÍTICO"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3" max="3"/>
    <col width="16" customWidth="1" min="4" max="4"/>
    <col width="13" customWidth="1" min="5" max="5"/>
    <col width="24" customWidth="1" min="6" max="6"/>
    <col width="26" customWidth="1" min="7" max="7"/>
  </cols>
  <sheetData>
    <row r="1" ht="34" customHeight="1">
      <c r="A1" s="1" t="inlineStr">
        <is>
          <t>PARÂMETROS DE REFERÊNCIA — Literatura de Elite  |  50m Borboleta</t>
        </is>
      </c>
    </row>
    <row r="2" ht="22" customHeight="1">
      <c r="A2" s="3" t="inlineStr">
        <is>
          <t>ZONAS DE INTENSIDADE E DISTRIBUIÇÃO IDEAL (Maglischo, 2003; Born et al., 2024)</t>
        </is>
      </c>
    </row>
    <row r="3" ht="34" customHeight="1">
      <c r="A3" s="8" t="inlineStr">
        <is>
          <t>Zona</t>
        </is>
      </c>
      <c r="B3" s="8" t="inlineStr">
        <is>
          <t>Código</t>
        </is>
      </c>
      <c r="C3" s="8" t="inlineStr">
        <is>
          <t>Descrição</t>
        </is>
      </c>
      <c r="D3" s="8" t="inlineStr">
        <is>
          <t>% V.Max</t>
        </is>
      </c>
      <c r="E3" s="8" t="inlineStr">
        <is>
          <t>Lactato</t>
        </is>
      </c>
      <c r="F3" s="8" t="inlineStr">
        <is>
          <t>FC aprox</t>
        </is>
      </c>
      <c r="G3" s="8" t="inlineStr">
        <is>
          <t>% Ideal 50m Bo</t>
        </is>
      </c>
    </row>
    <row r="4" ht="18" customHeight="1">
      <c r="A4" s="11" t="inlineStr">
        <is>
          <t>Solto / A0</t>
        </is>
      </c>
      <c r="B4" s="12" t="inlineStr"/>
      <c r="C4" s="12" t="inlineStr">
        <is>
          <t>Recuperação ativa / aquecimento</t>
        </is>
      </c>
      <c r="D4" s="12" t="inlineStr">
        <is>
          <t>&lt; 70%</t>
        </is>
      </c>
      <c r="E4" s="12" t="inlineStr">
        <is>
          <t>&lt; 2 mmol/L</t>
        </is>
      </c>
      <c r="F4" s="12" t="inlineStr">
        <is>
          <t>&lt; 70% FCmax</t>
        </is>
      </c>
      <c r="G4" s="12" t="inlineStr">
        <is>
          <t>30–40%</t>
        </is>
      </c>
    </row>
    <row r="5" ht="18" customHeight="1">
      <c r="A5" s="13" t="inlineStr">
        <is>
          <t>A1</t>
        </is>
      </c>
      <c r="B5" s="14" t="inlineStr"/>
      <c r="C5" s="14" t="inlineStr">
        <is>
          <t>Aeróbio base / técnica</t>
        </is>
      </c>
      <c r="D5" s="14" t="inlineStr">
        <is>
          <t>70–80%</t>
        </is>
      </c>
      <c r="E5" s="14" t="inlineStr">
        <is>
          <t>2–3 mmol/L</t>
        </is>
      </c>
      <c r="F5" s="14" t="inlineStr">
        <is>
          <t>70–80%</t>
        </is>
      </c>
      <c r="G5" s="14" t="inlineStr">
        <is>
          <t>20–30%</t>
        </is>
      </c>
    </row>
    <row r="6" ht="18" customHeight="1">
      <c r="A6" s="15" t="inlineStr">
        <is>
          <t>A2</t>
        </is>
      </c>
      <c r="B6" s="16" t="inlineStr"/>
      <c r="C6" s="16" t="inlineStr">
        <is>
          <t>Aeróbio limiar</t>
        </is>
      </c>
      <c r="D6" s="16" t="inlineStr">
        <is>
          <t>80–88%</t>
        </is>
      </c>
      <c r="E6" s="16" t="inlineStr">
        <is>
          <t>3–5 mmol/L</t>
        </is>
      </c>
      <c r="F6" s="16" t="inlineStr">
        <is>
          <t>80–88%</t>
        </is>
      </c>
      <c r="G6" s="16" t="inlineStr">
        <is>
          <t>5–10%</t>
        </is>
      </c>
    </row>
    <row r="7" ht="18" customHeight="1">
      <c r="A7" s="17" t="inlineStr">
        <is>
          <t>A3</t>
        </is>
      </c>
      <c r="B7" s="18" t="inlineStr"/>
      <c r="C7" s="18" t="inlineStr">
        <is>
          <t>Aeróbio alta intensidade</t>
        </is>
      </c>
      <c r="D7" s="18" t="inlineStr">
        <is>
          <t>88–94%</t>
        </is>
      </c>
      <c r="E7" s="18" t="inlineStr">
        <is>
          <t>5–8 mmol/L</t>
        </is>
      </c>
      <c r="F7" s="18" t="inlineStr">
        <is>
          <t>88–94%</t>
        </is>
      </c>
      <c r="G7" s="18" t="inlineStr">
        <is>
          <t>3–7%</t>
        </is>
      </c>
    </row>
    <row r="8" ht="18" customHeight="1">
      <c r="A8" s="19" t="inlineStr">
        <is>
          <t>RTM200</t>
        </is>
      </c>
      <c r="B8" s="20" t="inlineStr"/>
      <c r="C8" s="20" t="inlineStr">
        <is>
          <t>Ritmo de prova 200m</t>
        </is>
      </c>
      <c r="D8" s="20" t="inlineStr">
        <is>
          <t>~85%</t>
        </is>
      </c>
      <c r="E8" s="20" t="inlineStr">
        <is>
          <t>4–6 mmol/L</t>
        </is>
      </c>
      <c r="F8" s="20" t="inlineStr">
        <is>
          <t>~85%</t>
        </is>
      </c>
      <c r="G8" s="20" t="inlineStr">
        <is>
          <t>2–5%</t>
        </is>
      </c>
    </row>
    <row r="9" ht="18" customHeight="1">
      <c r="A9" s="13" t="inlineStr">
        <is>
          <t>RTM100</t>
        </is>
      </c>
      <c r="B9" s="14" t="inlineStr"/>
      <c r="C9" s="14" t="inlineStr">
        <is>
          <t>Ritmo de prova 100m</t>
        </is>
      </c>
      <c r="D9" s="14" t="inlineStr">
        <is>
          <t>~90%</t>
        </is>
      </c>
      <c r="E9" s="14" t="inlineStr">
        <is>
          <t>6–8 mmol/L</t>
        </is>
      </c>
      <c r="F9" s="14" t="inlineStr">
        <is>
          <t>~90%</t>
        </is>
      </c>
      <c r="G9" s="14" t="inlineStr">
        <is>
          <t>2–5%</t>
        </is>
      </c>
    </row>
    <row r="10" ht="18" customHeight="1">
      <c r="A10" s="15" t="inlineStr">
        <is>
          <t>RTM50</t>
        </is>
      </c>
      <c r="B10" s="16" t="inlineStr"/>
      <c r="C10" s="16" t="inlineStr">
        <is>
          <t>Ritmo de prova 50m</t>
        </is>
      </c>
      <c r="D10" s="16" t="inlineStr">
        <is>
          <t>~95%</t>
        </is>
      </c>
      <c r="E10" s="16" t="inlineStr">
        <is>
          <t>8–12 mmol/L</t>
        </is>
      </c>
      <c r="F10" s="16" t="inlineStr">
        <is>
          <t>~95%</t>
        </is>
      </c>
      <c r="G10" s="16" t="inlineStr">
        <is>
          <t>1–3%</t>
        </is>
      </c>
    </row>
    <row r="11" ht="18" customHeight="1">
      <c r="A11" s="17" t="inlineStr">
        <is>
          <t>Fo</t>
        </is>
      </c>
      <c r="B11" s="18" t="inlineStr"/>
      <c r="C11" s="18" t="inlineStr">
        <is>
          <t>Forte / resistência de velocidade</t>
        </is>
      </c>
      <c r="D11" s="18" t="inlineStr">
        <is>
          <t>90–97%</t>
        </is>
      </c>
      <c r="E11" s="18" t="inlineStr">
        <is>
          <t>8–12 mmol/L</t>
        </is>
      </c>
      <c r="F11" s="18" t="inlineStr">
        <is>
          <t>&gt; 90%</t>
        </is>
      </c>
      <c r="G11" s="18" t="inlineStr">
        <is>
          <t>5–8%</t>
        </is>
      </c>
    </row>
    <row r="12" ht="18" customHeight="1">
      <c r="A12" s="21" t="inlineStr">
        <is>
          <t>AllOut</t>
        </is>
      </c>
      <c r="B12" s="22" t="inlineStr"/>
      <c r="C12" s="22" t="inlineStr">
        <is>
          <t>Sprint máximo</t>
        </is>
      </c>
      <c r="D12" s="22" t="inlineStr">
        <is>
          <t>≥ 97%</t>
        </is>
      </c>
      <c r="E12" s="22" t="inlineStr">
        <is>
          <t>&gt; 12 mmol/L</t>
        </is>
      </c>
      <c r="F12" s="22" t="inlineStr">
        <is>
          <t>máx</t>
        </is>
      </c>
      <c r="G12" s="22" t="inlineStr">
        <is>
          <t>8–15%</t>
        </is>
      </c>
    </row>
    <row r="14" ht="22" customHeight="1">
      <c r="A14" s="3" t="inlineStr">
        <is>
          <t>CARGA INTERNA — TRIMP-PSE (Foster, 1998; Mujika et al., 1996)</t>
        </is>
      </c>
    </row>
    <row r="15" ht="34" customHeight="1">
      <c r="A15" s="8" t="inlineStr">
        <is>
          <t>Índice</t>
        </is>
      </c>
      <c r="B15" s="8" t="inlineStr">
        <is>
          <t>Fórmula</t>
        </is>
      </c>
      <c r="C15" s="8" t="inlineStr">
        <is>
          <t>Ref. Elite</t>
        </is>
      </c>
      <c r="D15" s="8" t="inlineStr">
        <is>
          <t>Alerta</t>
        </is>
      </c>
      <c r="E15" s="8" t="inlineStr">
        <is>
          <t>Crítico</t>
        </is>
      </c>
      <c r="F15" s="8" t="inlineStr">
        <is>
          <t>Fonte</t>
        </is>
      </c>
      <c r="G15" s="8" t="inlineStr">
        <is>
          <t>Nota</t>
        </is>
      </c>
    </row>
    <row r="16">
      <c r="A16" s="23" t="inlineStr">
        <is>
          <t>TRIMP sessão</t>
        </is>
      </c>
      <c r="B16" s="9" t="inlineStr">
        <is>
          <t>Dur × PSE</t>
        </is>
      </c>
      <c r="C16" s="9" t="inlineStr">
        <is>
          <t>300–600 UA</t>
        </is>
      </c>
      <c r="D16" s="24" t="inlineStr">
        <is>
          <t>&gt; 600 UA</t>
        </is>
      </c>
      <c r="E16" s="25" t="inlineStr">
        <is>
          <t>&gt; 800 UA</t>
        </is>
      </c>
      <c r="F16" s="9" t="inlineStr">
        <is>
          <t>Foster, 1998</t>
        </is>
      </c>
      <c r="G16" s="9" t="inlineStr">
        <is>
          <t>Sessões AllOut: 700–900 normal</t>
        </is>
      </c>
    </row>
    <row r="17">
      <c r="A17" s="26" t="inlineStr">
        <is>
          <t>TRIMP semanal</t>
        </is>
      </c>
      <c r="B17" s="10" t="inlineStr">
        <is>
          <t>Σ TRIMP/semana</t>
        </is>
      </c>
      <c r="C17" s="10" t="inlineStr">
        <is>
          <t>1.500–3.500 UA</t>
        </is>
      </c>
      <c r="D17" s="27" t="inlineStr">
        <is>
          <t>&gt; 4.000 UA</t>
        </is>
      </c>
      <c r="E17" s="28" t="inlineStr">
        <is>
          <t>&gt; 5.000 UA</t>
        </is>
      </c>
      <c r="F17" s="10" t="inlineStr">
        <is>
          <t>Mujika, 1996</t>
        </is>
      </c>
      <c r="G17" s="10" t="inlineStr">
        <is>
          <t>Sprinters: topo da faixa</t>
        </is>
      </c>
    </row>
    <row r="18">
      <c r="A18" s="23" t="inlineStr">
        <is>
          <t>Monotonia</t>
        </is>
      </c>
      <c r="B18" s="9" t="inlineStr">
        <is>
          <t>Média / DP carga diária</t>
        </is>
      </c>
      <c r="C18" s="9" t="inlineStr">
        <is>
          <t>&lt; 1,5</t>
        </is>
      </c>
      <c r="D18" s="24" t="inlineStr">
        <is>
          <t>1,5–2,0</t>
        </is>
      </c>
      <c r="E18" s="25" t="inlineStr">
        <is>
          <t>&gt; 2,0</t>
        </is>
      </c>
      <c r="F18" s="9" t="inlineStr">
        <is>
          <t>Foster, 1998</t>
        </is>
      </c>
      <c r="G18" s="9" t="inlineStr">
        <is>
          <t>Alta = risco overreaching</t>
        </is>
      </c>
    </row>
    <row r="19">
      <c r="A19" s="26" t="inlineStr">
        <is>
          <t>Strain</t>
        </is>
      </c>
      <c r="B19" s="10" t="inlineStr">
        <is>
          <t>TRIMP sem × Monotonia</t>
        </is>
      </c>
      <c r="C19" s="10" t="inlineStr">
        <is>
          <t>&lt; 6.000</t>
        </is>
      </c>
      <c r="D19" s="27" t="inlineStr">
        <is>
          <t>6.000–9.000</t>
        </is>
      </c>
      <c r="E19" s="28" t="inlineStr">
        <is>
          <t>&gt; 9.000</t>
        </is>
      </c>
      <c r="F19" s="10" t="inlineStr">
        <is>
          <t>Foster, 1998</t>
        </is>
      </c>
      <c r="G19" s="10" t="inlineStr">
        <is>
          <t>Indicador cumulativo</t>
        </is>
      </c>
    </row>
    <row r="20">
      <c r="A20" s="23" t="inlineStr">
        <is>
          <t>PSE sessão</t>
        </is>
      </c>
      <c r="B20" s="9" t="inlineStr">
        <is>
          <t>CR-10 Borg</t>
        </is>
      </c>
      <c r="C20" s="9" t="inlineStr">
        <is>
          <t>4–6 (base)</t>
        </is>
      </c>
      <c r="D20" s="24" t="inlineStr">
        <is>
          <t>7–8</t>
        </is>
      </c>
      <c r="E20" s="25" t="inlineStr">
        <is>
          <t>&gt; 8</t>
        </is>
      </c>
      <c r="F20" s="9" t="inlineStr">
        <is>
          <t>Borg CR-10</t>
        </is>
      </c>
      <c r="G20" s="9" t="inlineStr">
        <is>
          <t>AllOut: PSE 7–9 esperado</t>
        </is>
      </c>
    </row>
    <row r="21">
      <c r="A21" s="26" t="inlineStr">
        <is>
          <t>Score Bem-Estar</t>
        </is>
      </c>
      <c r="B21" s="10" t="inlineStr">
        <is>
          <t>Média 5 escalas (1-5)</t>
        </is>
      </c>
      <c r="C21" s="10" t="inlineStr">
        <is>
          <t>≥ 4,0</t>
        </is>
      </c>
      <c r="D21" s="27" t="inlineStr">
        <is>
          <t>3,0–3,9</t>
        </is>
      </c>
      <c r="E21" s="28" t="inlineStr">
        <is>
          <t>&lt; 3,0</t>
        </is>
      </c>
      <c r="F21" s="10" t="inlineStr">
        <is>
          <t>Hooper &amp; Mackinnon</t>
        </is>
      </c>
      <c r="G21" s="10" t="inlineStr">
        <is>
          <t>Diário obrigatório</t>
        </is>
      </c>
    </row>
    <row r="23" ht="22" customHeight="1">
      <c r="A23" s="3" t="inlineStr">
        <is>
          <t>CINEMÁTICA — 50m Borboleta Elite (Chollet, 2000; Seifert, 2010; Gonjo, 2020; Hawke, 2025)</t>
        </is>
      </c>
    </row>
    <row r="24" ht="34" customHeight="1">
      <c r="A24" s="8" t="inlineStr">
        <is>
          <t>Parâmetro</t>
        </is>
      </c>
      <c r="B24" s="8" t="inlineStr">
        <is>
          <t>Elite Mundial</t>
        </is>
      </c>
      <c r="C24" s="8" t="inlineStr">
        <is>
          <t>Ref. Boa</t>
        </is>
      </c>
      <c r="D24" s="8" t="inlineStr">
        <is>
          <t>Atenção</t>
        </is>
      </c>
      <c r="E24" s="8" t="inlineStr">
        <is>
          <t>Unidade</t>
        </is>
      </c>
      <c r="F24" s="8" t="inlineStr">
        <is>
          <t>Fonte</t>
        </is>
      </c>
      <c r="G24" s="8" t="inlineStr">
        <is>
          <t>Nota para Nicholas</t>
        </is>
      </c>
    </row>
    <row r="25">
      <c r="A25" s="23" t="inlineStr">
        <is>
          <t>Velocidade competição</t>
        </is>
      </c>
      <c r="B25" s="9" t="inlineStr">
        <is>
          <t>&gt; 2,10 m/s</t>
        </is>
      </c>
      <c r="C25" s="9" t="inlineStr">
        <is>
          <t>1,90–2,10</t>
        </is>
      </c>
      <c r="D25" s="24" t="inlineStr">
        <is>
          <t>&lt; 1,80</t>
        </is>
      </c>
      <c r="E25" s="9" t="inlineStr">
        <is>
          <t>m/s</t>
        </is>
      </c>
      <c r="F25" s="9" t="inlineStr">
        <is>
          <t>FINA Rankings</t>
        </is>
      </c>
      <c r="G25" s="9" t="inlineStr">
        <is>
          <t>Meta progressiva</t>
        </is>
      </c>
    </row>
    <row r="26">
      <c r="A26" s="26" t="inlineStr">
        <is>
          <t>FB competição</t>
        </is>
      </c>
      <c r="B26" s="10" t="inlineStr">
        <is>
          <t>52–62 cicl/min</t>
        </is>
      </c>
      <c r="C26" s="10" t="inlineStr">
        <is>
          <t>48–56</t>
        </is>
      </c>
      <c r="D26" s="27" t="inlineStr">
        <is>
          <t>&lt; 45 / &gt; 65</t>
        </is>
      </c>
      <c r="E26" s="10" t="inlineStr">
        <is>
          <t>ciclos/min</t>
        </is>
      </c>
      <c r="F26" s="10" t="inlineStr">
        <is>
          <t>Chollet, 2000</t>
        </is>
      </c>
      <c r="G26" s="10" t="inlineStr">
        <is>
          <t>Ref. prova: 61–63 (treinador)</t>
        </is>
      </c>
    </row>
    <row r="27">
      <c r="A27" s="23" t="inlineStr">
        <is>
          <t>DPC competição</t>
        </is>
      </c>
      <c r="B27" s="9" t="inlineStr">
        <is>
          <t>&gt; 2,20 m/ciclo</t>
        </is>
      </c>
      <c r="C27" s="9" t="inlineStr">
        <is>
          <t>2,00–2,20</t>
        </is>
      </c>
      <c r="D27" s="24" t="inlineStr">
        <is>
          <t>&lt; 1,80</t>
        </is>
      </c>
      <c r="E27" s="9" t="inlineStr">
        <is>
          <t>m/ciclo</t>
        </is>
      </c>
      <c r="F27" s="9" t="inlineStr">
        <is>
          <t>Seifert, 2010</t>
        </is>
      </c>
      <c r="G27" s="9" t="inlineStr">
        <is>
          <t>Índice de eficiência técnica</t>
        </is>
      </c>
    </row>
    <row r="28">
      <c r="A28" s="26" t="inlineStr">
        <is>
          <t>Índice de Nado</t>
        </is>
      </c>
      <c r="B28" s="10" t="inlineStr">
        <is>
          <t>&gt; 4,50 m²/ciclo</t>
        </is>
      </c>
      <c r="C28" s="10" t="inlineStr">
        <is>
          <t>3,80–4,50</t>
        </is>
      </c>
      <c r="D28" s="27" t="inlineStr">
        <is>
          <t>&lt; 3,50</t>
        </is>
      </c>
      <c r="E28" s="10" t="inlineStr">
        <is>
          <t>m²/ciclo</t>
        </is>
      </c>
      <c r="F28" s="10" t="inlineStr">
        <is>
          <t>Craig &amp; Pendergast</t>
        </is>
      </c>
      <c r="G28" s="10" t="inlineStr">
        <is>
          <t>Vel × DPC</t>
        </is>
      </c>
    </row>
    <row r="29">
      <c r="A29" s="23" t="inlineStr">
        <is>
          <t>Vel superfície AllOut</t>
        </is>
      </c>
      <c r="B29" s="9" t="inlineStr">
        <is>
          <t>&gt; 1,95 m/s</t>
        </is>
      </c>
      <c r="C29" s="9" t="inlineStr">
        <is>
          <t>1,85–1,95</t>
        </is>
      </c>
      <c r="D29" s="24" t="inlineStr">
        <is>
          <t>&lt; 1,80</t>
        </is>
      </c>
      <c r="E29" s="9" t="inlineStr">
        <is>
          <t>m/s</t>
        </is>
      </c>
      <c r="F29" s="9" t="inlineStr">
        <is>
          <t>Ref. interna Nicholas</t>
        </is>
      </c>
      <c r="G29" s="9" t="inlineStr">
        <is>
          <t>Após breakout nos 30m SM</t>
        </is>
      </c>
    </row>
    <row r="30">
      <c r="A30" s="26" t="inlineStr">
        <is>
          <t>Breakout 25m</t>
        </is>
      </c>
      <c r="B30" s="10" t="inlineStr">
        <is>
          <t>15–18m</t>
        </is>
      </c>
      <c r="C30" s="10" t="inlineStr">
        <is>
          <t>12–15m</t>
        </is>
      </c>
      <c r="D30" s="27" t="inlineStr">
        <is>
          <t>&lt; 12m</t>
        </is>
      </c>
      <c r="E30" s="10" t="inlineStr">
        <is>
          <t>metros</t>
        </is>
      </c>
      <c r="F30" s="10" t="inlineStr">
        <is>
          <t>Hawke, 2025</t>
        </is>
      </c>
      <c r="G30" s="10" t="inlineStr">
        <is>
          <t>Nicholas: 23–25m — excepcional</t>
        </is>
      </c>
    </row>
    <row r="31">
      <c r="A31" s="23" t="inlineStr">
        <is>
          <t>DESTRO vel 40kg</t>
        </is>
      </c>
      <c r="B31" s="9" t="inlineStr">
        <is>
          <t>&gt; 2,10 m/s</t>
        </is>
      </c>
      <c r="C31" s="9" t="inlineStr">
        <is>
          <t>2,00–2,10</t>
        </is>
      </c>
      <c r="D31" s="24" t="inlineStr">
        <is>
          <t>&lt; 1,90</t>
        </is>
      </c>
      <c r="E31" s="9" t="inlineStr">
        <is>
          <t>m/s</t>
        </is>
      </c>
      <c r="F31" s="9" t="inlineStr">
        <is>
          <t>LV Profile — Gonjo, 2020</t>
        </is>
      </c>
      <c r="G31" s="9" t="inlineStr">
        <is>
          <t>Tendência crescente esperada</t>
        </is>
      </c>
    </row>
    <row r="32">
      <c r="A32" s="26" t="inlineStr">
        <is>
          <t>Queda vel intra-sessão</t>
        </is>
      </c>
      <c r="B32" s="10" t="inlineStr">
        <is>
          <t>&lt; 5%</t>
        </is>
      </c>
      <c r="C32" s="10" t="inlineStr">
        <is>
          <t>5–8%</t>
        </is>
      </c>
      <c r="D32" s="27" t="inlineStr">
        <is>
          <t>&gt; 10%</t>
        </is>
      </c>
      <c r="E32" s="10" t="inlineStr">
        <is>
          <t>Δ%</t>
        </is>
      </c>
      <c r="F32" s="10" t="inlineStr">
        <is>
          <t>Ref. interna</t>
        </is>
      </c>
      <c r="G32" s="10" t="inlineStr">
        <is>
          <t>Nicholas 13/04: −10,2% (atenção)</t>
        </is>
      </c>
    </row>
    <row r="33">
      <c r="A33" s="23" t="inlineStr">
        <is>
          <t>N° AllOut/semana</t>
        </is>
      </c>
      <c r="B33" s="9" t="inlineStr">
        <is>
          <t>8–15 reps</t>
        </is>
      </c>
      <c r="C33" s="9" t="inlineStr">
        <is>
          <t>4–8 (pico)</t>
        </is>
      </c>
      <c r="D33" s="24" t="inlineStr">
        <is>
          <t>&lt; 4 ou &gt; 20</t>
        </is>
      </c>
      <c r="E33" s="9" t="inlineStr">
        <is>
          <t>repetições</t>
        </is>
      </c>
      <c r="F33" s="9" t="inlineStr">
        <is>
          <t>Born et al., 2024</t>
        </is>
      </c>
      <c r="G33" s="9" t="inlineStr">
        <is>
          <t>Sprint 50m elite</t>
        </is>
      </c>
    </row>
    <row r="34">
      <c r="A34" s="26" t="inlineStr">
        <is>
          <t>Ratio W:R AllOut</t>
        </is>
      </c>
      <c r="B34" s="10" t="inlineStr">
        <is>
          <t>1:5 mínimo</t>
        </is>
      </c>
      <c r="C34" s="10" t="inlineStr">
        <is>
          <t>1:5–1:8</t>
        </is>
      </c>
      <c r="D34" s="27" t="inlineStr">
        <is>
          <t>&lt; 1:3</t>
        </is>
      </c>
      <c r="E34" s="10" t="inlineStr">
        <is>
          <t>razão</t>
        </is>
      </c>
      <c r="F34" s="10" t="inlineStr">
        <is>
          <t>Race Club / Hawke</t>
        </is>
      </c>
      <c r="G34" s="10" t="inlineStr">
        <is>
          <t>Garantir qualidade máxima</t>
        </is>
      </c>
    </row>
  </sheetData>
  <mergeCells count="4">
    <mergeCell ref="A14:G14"/>
    <mergeCell ref="A2:G2"/>
    <mergeCell ref="A1:G1"/>
    <mergeCell ref="A23:G2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selection activeCell="A1" sqref="A1"/>
    </sheetView>
  </sheetViews>
  <sheetFormatPr baseColWidth="8" defaultRowHeight="15"/>
  <cols>
    <col width="100" customWidth="1" min="1" max="1"/>
    <col width="1" customWidth="1" min="2" max="2"/>
    <col width="1" customWidth="1" min="3" max="3"/>
    <col width="1" customWidth="1" min="4" max="4"/>
    <col width="1" customWidth="1" min="5" max="5"/>
  </cols>
  <sheetData>
    <row r="1" ht="34" customHeight="1">
      <c r="A1" s="1" t="inlineStr">
        <is>
          <t>PROTOCOLO DE ENTRADA DE DADOS — Fluxo com Claude + Banco de Dados Persistente</t>
        </is>
      </c>
    </row>
    <row r="2" ht="24" customHeight="1">
      <c r="A2" s="3" t="inlineStr">
        <is>
          <t>FLUXO DIÁRIO — 3 PASSOS</t>
        </is>
      </c>
    </row>
    <row r="3" ht="20" customHeight="1">
      <c r="A3" s="2" t="inlineStr">
        <is>
          <t>Passo 1 — Enviar ao Claude: prescrição do treino + imagem de desempenho + duração + PSE + bem-estar</t>
        </is>
      </c>
    </row>
    <row r="4" ht="20" customHeight="1">
      <c r="A4" s="2" t="inlineStr">
        <is>
          <t>Passo 2 — Claude devolve: 3 blocos CSV prontos (Sessão / Séries / Bem-estar) + análise de alertas</t>
        </is>
      </c>
    </row>
    <row r="5" ht="20" customHeight="1">
      <c r="A5" s="2" t="inlineStr">
        <is>
          <t>Passo 3 — Colar no Artifact (banco de dados persistente no navegador) ou diretamente no Excel</t>
        </is>
      </c>
    </row>
    <row r="6" ht="8" customHeight="1">
      <c r="A6" s="29" t="inlineStr"/>
    </row>
    <row r="7" ht="22" customHeight="1">
      <c r="A7" s="3" t="inlineStr">
        <is>
          <t>FORMATO DE REGISTRO NO APP DO TREINADOR</t>
        </is>
      </c>
    </row>
    <row r="8" ht="15" customHeight="1">
      <c r="A8" s="30" t="inlineStr">
        <is>
          <t>Sd Deslize:     tempo_subm_s</t>
        </is>
      </c>
    </row>
    <row r="9" ht="15" customHeight="1">
      <c r="A9" s="30" t="inlineStr">
        <is>
          <t>Sd Fo 15m:      tempo_subm_s</t>
        </is>
      </c>
    </row>
    <row r="10" ht="15" customHeight="1">
      <c r="A10" s="30" t="inlineStr">
        <is>
          <t>Sd Fo 25m:      tempo_subm_s / tempo_total_s (fb_cpm)</t>
        </is>
      </c>
    </row>
    <row r="11" ht="15" customHeight="1">
      <c r="A11" s="30" t="inlineStr">
        <is>
          <t>Sd Fo 50m:      tempo_subm_s / tempo_15m_s / tempo_total_s (fb_cpm)</t>
        </is>
      </c>
    </row>
    <row r="12" ht="15" customHeight="1">
      <c r="A12" s="30" t="inlineStr">
        <is>
          <t>DESTRO N°:      tempo_s (fb_cpm)  — por repetição, carga em kg no bloco</t>
        </is>
      </c>
    </row>
    <row r="13" ht="15" customHeight="1">
      <c r="A13" s="30" t="inlineStr">
        <is>
          <t>SM AllOut:      tempo_s (fb_cpm) dist_breakout_m  — breakout sublinhado</t>
        </is>
      </c>
    </row>
    <row r="14" ht="15" customHeight="1">
      <c r="A14" s="30" t="inlineStr">
        <is>
          <t>50m A3:         tempo_s (fb_ida/fb_volta)</t>
        </is>
      </c>
    </row>
    <row r="15" ht="8" customHeight="1">
      <c r="A15" s="29" t="inlineStr"/>
    </row>
    <row r="16" ht="22" customHeight="1">
      <c r="A16" s="3" t="inlineStr">
        <is>
          <t>PROMPT PADRÃO PARA O CLAUDE</t>
        </is>
      </c>
    </row>
    <row r="17" ht="8" customHeight="1">
      <c r="A17" s="29" t="inlineStr"/>
    </row>
    <row r="18" ht="130" customHeight="1">
      <c r="A18" s="31" t="inlineStr">
        <is>
          <t>Treino de [DATA]. Atleta: Nicholas. Piscina: [25m/50m].
Duração: [HH:MM–HH:MM] = [X] min. PSE pós-treino: [X].
Bem-estar: Sono [X] | Humor [X] | Fadiga [X] | Apetite [X] | Recuperação [X]
Dor: Joelho [X] | Lombar [X] | Ombro [X] | Pescoço [X] | Punho [X] | Tornoz. [X]
Segue prescrição e imagem de desempenho.
Por favor, usando a estrutura definitiva consolidada:
1. Volume total + zonas (Solto/A0, A1, A2, A3, RTM50, RTM100, RTM200, Fo, AllOut)
2. Volume por tipo de tarefa (NC, BR, PR, TEC, SubDK-aer, SubDK-allout, Resistido, Overspeed)
3. Alta intensidade: vol_allout_m, vol_fo_m, n_allout_destro, n_allout_sm, n_allout_total, n_saidas, n_viradas, ratio_wr, carga_destro_kg
4. Extrair tempos + FB + breakout de todas as séries da imagem
5. Calcular vel, DPC, IN, vel_superficie para cada série
6. Devolver 3 blocos CSV com cabeçalho incluído:
   → CSV 1: linha SESSOES (todas as colunas da estrutura definitiva)
   → CSV 2: linha BEM_ESTAR
   → CSV 3: linhas SERIES (uma por série com desempenho)
7. Análise: alertas TRIMP, vel superfície, fadiga intra-sessão, perfil L-V DESTRO</t>
        </is>
      </c>
    </row>
    <row r="19" ht="8" customHeight="1">
      <c r="A19" s="29" t="inlineStr"/>
    </row>
    <row r="20" ht="20" customHeight="1">
      <c r="A20" s="3" t="inlineStr">
        <is>
          <t>ALERTAS AUTOMÁTICOS</t>
        </is>
      </c>
    </row>
    <row r="21" ht="15" customHeight="1">
      <c r="A21" s="30" t="inlineStr">
        <is>
          <t>TRIMP &gt; 600 UA → ATENÇÃO | &gt; 800 UA → CRÍTICO (aba SESSOES)</t>
        </is>
      </c>
    </row>
    <row r="22" ht="15" customHeight="1">
      <c r="A22" s="30" t="inlineStr">
        <is>
          <t>PSE ≥ 7 → ATENÇÃO | ≥ 9 → CRÍTICO (aba SESSOES)</t>
        </is>
      </c>
    </row>
    <row r="23" ht="15" customHeight="1">
      <c r="A23" s="30" t="inlineStr">
        <is>
          <t>Vel superfície &lt; 1,95 m/s → ATENÇÃO | &lt; 1,80 m/s → CRÍTICO (aba SERIES)</t>
        </is>
      </c>
    </row>
    <row r="24" ht="15" customHeight="1">
      <c r="A24" s="30" t="inlineStr">
        <is>
          <t>Queda vel intra-sessão &gt; 8% → ATENÇÃO | &gt; 12% → CRÍTICO (análise Claude)</t>
        </is>
      </c>
    </row>
    <row r="25" ht="15" customHeight="1">
      <c r="A25" s="30" t="inlineStr">
        <is>
          <t>Monotonia &gt; 1,5 → ATENÇÃO | &gt; 2,0 → CRÍTICO (aba ANALISE_SEMANAL)</t>
        </is>
      </c>
    </row>
    <row r="26" ht="15" customHeight="1">
      <c r="A26" s="30" t="inlineStr">
        <is>
          <t>Score Bem-Estar &lt; 3,0 → CRÍTICO (aba BEM_ESTAR)</t>
        </is>
      </c>
    </row>
    <row r="27" ht="15" customHeight="1">
      <c r="A27" s="30" t="inlineStr">
        <is>
          <t>N° AllOut &gt; 20/semana sem recuperação adequada → ATENÇÃO (análise Claude)</t>
        </is>
      </c>
    </row>
  </sheetData>
  <mergeCells count="27">
    <mergeCell ref="A24:E24"/>
    <mergeCell ref="A15:E15"/>
    <mergeCell ref="A11:E11"/>
    <mergeCell ref="A1:E1"/>
    <mergeCell ref="A6:E6"/>
    <mergeCell ref="A16:E16"/>
    <mergeCell ref="A7:E7"/>
    <mergeCell ref="A25:E25"/>
    <mergeCell ref="A18:E18"/>
    <mergeCell ref="A27:E27"/>
    <mergeCell ref="A3:E3"/>
    <mergeCell ref="A21:E21"/>
    <mergeCell ref="A12:E12"/>
    <mergeCell ref="A26:E26"/>
    <mergeCell ref="A2:E2"/>
    <mergeCell ref="A5:E5"/>
    <mergeCell ref="A23:E23"/>
    <mergeCell ref="A14:E14"/>
    <mergeCell ref="A8:E8"/>
    <mergeCell ref="A22:E22"/>
    <mergeCell ref="A17:E17"/>
    <mergeCell ref="A4:E4"/>
    <mergeCell ref="A20:E20"/>
    <mergeCell ref="A10:E10"/>
    <mergeCell ref="A19:E19"/>
    <mergeCell ref="A13:E13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2026-04-13T20:47:32Z</dcterms:created>
  <dcterms:modified xmlns:dcterms="http://purl.org/dc/terms/" xmlns:xsi="http://www.w3.org/2001/XMLSchema-instance" xsi:type="dcterms:W3CDTF">2026-04-13T20:47:34Z</dcterms:modified>
</cp:coreProperties>
</file>